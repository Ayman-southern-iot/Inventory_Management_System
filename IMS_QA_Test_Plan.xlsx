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Executive Summary" state="visible" r:id="rId4"/>
    <sheet sheetId="2" name="Summary" state="visible" r:id="rId5"/>
    <sheet sheetId="3" name="Scope &amp; Approach" state="visible" r:id="rId6"/>
    <sheet sheetId="4" name="Test Cases" state="visible" r:id="rId7"/>
    <sheet sheetId="5" name="Defect Log" state="visible" r:id="rId8"/>
    <sheet sheetId="6" name="Test Data &amp; Cleanup" state="visible" r:id="rId9"/>
  </sheets>
  <definedNames>
    <definedName name="_xlnm._FilterDatabase">'Test Cases'!$A$1:$K$187</definedName>
  </definedNames>
  <calcPr calcId="171027"/>
</workbook>
</file>

<file path=xl/sharedStrings.xml><?xml version="1.0" encoding="utf-8"?>
<sst xmlns="http://schemas.openxmlformats.org/spreadsheetml/2006/main" count="2456" uniqueCount="1260">
  <si>
    <t>IMS QA — Executive Summary</t>
  </si>
  <si>
    <t>Application</t>
  </si>
  <si>
    <t>https://erp.southerneleven.com  (Southern IoT / R Suites)</t>
  </si>
  <si>
    <t>Tested</t>
  </si>
  <si>
    <t>13 August 2026, single session, production with QA-labelled test data</t>
  </si>
  <si>
    <t>Baseline</t>
  </si>
  <si>
    <t>Inventory_Management_Requirements.docx</t>
  </si>
  <si>
    <t>Roles exercised</t>
  </si>
  <si>
    <t>General, Inventory Manager, Approver 1, Approver 2, Administrator — all five</t>
  </si>
  <si>
    <t>Verdict</t>
  </si>
  <si>
    <t>The build is substantially more capable than the requirements document describes, and the parts that are</t>
  </si>
  <si>
    <t>finished are well made — stock accounting, the borrow/return lifecycle, the approval chain and its audit</t>
  </si>
  <si>
    <t>trail are all better than specified. The defects that matter are concentrated in two places: date handling,</t>
  </si>
  <si>
    <t>and financial controls around the sanctioned amount. Neither is a design problem; both are bounded bugs.</t>
  </si>
  <si>
    <t>Fix before anyone relies on the figures</t>
  </si>
  <si>
    <t>D-014  Critical</t>
  </si>
  <si>
    <t>Every date is stored one day early, and shifts again on each save. Reproduced in requisition deadlines and borrowing return dates. Undermines the whole section 5 reminder flow.</t>
  </si>
  <si>
    <t>D-022  Critical</t>
  </si>
  <si>
    <t>An approver can sanction MORE than was requested, unbounded (15,000 -&gt; 99,000 accepted). The inflated figure then sets the funding ceiling, so cash can be released against it.</t>
  </si>
  <si>
    <t>D-020  High</t>
  </si>
  <si>
    <t>The Expenses report counts rejected and unapproved requisitions as 'Approved', on a page that claims 'Figures always reconcile' and exports to Accounts.</t>
  </si>
  <si>
    <t>D-030  High</t>
  </si>
  <si>
    <t>The audit log shows 'Unknown actor' for nearly every action, including every approval and rejection.</t>
  </si>
  <si>
    <t>D-024  High</t>
  </si>
  <si>
    <t>Expenses CSV/PDF export returns the app's HTML shell with a .csv/.pdf filename. Fails silently. (The BOM PDF, by contrast, works.)</t>
  </si>
  <si>
    <t>D-028  High</t>
  </si>
  <si>
    <t>A BOM quantity equal to the full requisitioned amount silently clears the field — the most common case cannot be entered.</t>
  </si>
  <si>
    <t>D-023  High</t>
  </si>
  <si>
    <t>The section 4 approver delegate feature has no UI anywhere, though 'ON BEHALF OF' exists in the BOM data.</t>
  </si>
  <si>
    <t>Worth knowing</t>
  </si>
  <si>
    <t>Config, not code</t>
  </si>
  <si>
    <t>D-001 (no below-threshold requisition could be submitted) was an unassigned 'Sub-threshold approver' setting. Now assigned; the 1-approver path works.</t>
  </si>
  <si>
    <t>Doc, not code</t>
  </si>
  <si>
    <t>D-007 (15,000 exactly gets 2 approvers) is the product's documented rule — 'at or above'. The requirements doc's wording is what disagrees.</t>
  </si>
  <si>
    <t>Undocumented</t>
  </si>
  <si>
    <t>14 substantial features exist that the requirements never mention: the IM review stage, sanctioned-vs-requested amounts, transportation cost, supporting documents, a full borrowing module, projects, quarantine, approval signatures, the Expenses report, configurable audit logging, and department-level approver overrides.</t>
  </si>
  <si>
    <t>Done well — do not regress</t>
  </si>
  <si>
    <t>Stock accounting reconciles at every step, including a damaged return going to Quarantine rather than back to stock.</t>
  </si>
  <si>
    <t>Rejection ends the request, skips the remaining approvers and cannot be reopened — exactly section 4.</t>
  </si>
  <si>
    <t>Self-approval is blocked outright, with a message that explains the fix.</t>
  </si>
  <si>
    <t>Either approver may act first, in both orders, with the outstanding approver always named.</t>
  </si>
  <si>
    <t>The BOM freezes its approval chain at generation and renders a real PDF.</t>
  </si>
  <si>
    <t>Over-funding, negative funding, negative quantities and prices, and past-dated thresholds are all rejected.</t>
  </si>
  <si>
    <t>Output encoding is clean; the browser console is error-free.</t>
  </si>
  <si>
    <t>Not covered</t>
  </si>
  <si>
    <t>NT-02</t>
  </si>
  <si>
    <t>The approval-deadline reminder could not be triggered in-session (time-based). Verify separately.</t>
  </si>
  <si>
    <t>EX-03</t>
  </si>
  <si>
    <t>The BOM PDF is valid and correctly typed, but its rendered figures were not compared line by line. One human eyeball recommended.</t>
  </si>
  <si>
    <t>D-013</t>
  </si>
  <si>
    <t>Server-side per-role authorisation was not tested. UI blocking works and the API rejects unauthenticated calls, but per-endpoint role enforcement needs an API client and explicit authorisation.</t>
  </si>
  <si>
    <t>Scope</t>
  </si>
  <si>
    <t>No penetration testing, load testing or infrastructure review, by agreement.</t>
  </si>
  <si>
    <t>IMS QA — Test Execution Summary</t>
  </si>
  <si>
    <t>Southern IoT · https://erp.southerneleven.com</t>
  </si>
  <si>
    <t>Requirements source: Inventory_Management_Requirements.docx (R Suites)</t>
  </si>
  <si>
    <t>Overall</t>
  </si>
  <si>
    <t>Total test cases</t>
  </si>
  <si>
    <t>Pass</t>
  </si>
  <si>
    <t>Fail</t>
  </si>
  <si>
    <t>Blocked</t>
  </si>
  <si>
    <t>N/A</t>
  </si>
  <si>
    <t>Observation</t>
  </si>
  <si>
    <t>Not run</t>
  </si>
  <si>
    <t>Executed</t>
  </si>
  <si>
    <t>Pass rate (of executed)</t>
  </si>
  <si>
    <t>By severity (failures)</t>
  </si>
  <si>
    <t>Critical</t>
  </si>
  <si>
    <t>High</t>
  </si>
  <si>
    <t>Medium</t>
  </si>
  <si>
    <t>Low</t>
  </si>
  <si>
    <t>Cosmetic</t>
  </si>
  <si>
    <t>By area</t>
  </si>
  <si>
    <t>Area</t>
  </si>
  <si>
    <t>Total</t>
  </si>
  <si>
    <t>Access control</t>
  </si>
  <si>
    <t>Request form</t>
  </si>
  <si>
    <t>Approval flow</t>
  </si>
  <si>
    <t>Notifications</t>
  </si>
  <si>
    <t>Fund logging</t>
  </si>
  <si>
    <t>Inventory</t>
  </si>
  <si>
    <t>Returns</t>
  </si>
  <si>
    <t>BOM</t>
  </si>
  <si>
    <t>Export</t>
  </si>
  <si>
    <t>Admin config</t>
  </si>
  <si>
    <t>UI/UX</t>
  </si>
  <si>
    <t>Doc gap</t>
  </si>
  <si>
    <t>IMS QA — Scope &amp; Approach</t>
  </si>
  <si>
    <t>https://erp.southerneleven.com</t>
  </si>
  <si>
    <t>Environment</t>
  </si>
  <si>
    <t>Production, with clearly-labelled test data (agreed with product owner)</t>
  </si>
  <si>
    <t>Requirements baseline</t>
  </si>
  <si>
    <t>Inventory_Management_Requirements.docx — R Suites</t>
  </si>
  <si>
    <t>Roles under test</t>
  </si>
  <si>
    <t>General, Approver A, Approver B, Delegate, Inventory Manager, Admin</t>
  </si>
  <si>
    <t>In scope</t>
  </si>
  <si>
    <t>1</t>
  </si>
  <si>
    <t>Functional verification of every requirement in sections 2-11 of the requirements document</t>
  </si>
  <si>
    <t>2</t>
  </si>
  <si>
    <t>Negative and boundary testing (blank input, zero/negative values, threshold boundary at 14,999 / 15,000 / 15,001, over-funding, double approval, past deadlines)</t>
  </si>
  <si>
    <t>3</t>
  </si>
  <si>
    <t>UI/UX and usability review (labelling, validation messaging, formatting consistency, responsive layout, keyboard access, console errors)</t>
  </si>
  <si>
    <t>4</t>
  </si>
  <si>
    <t>Role-based access control: confirming each role cannot reach screens or records outside its remit, including direct-URL and object-ID access</t>
  </si>
  <si>
    <t>5</t>
  </si>
  <si>
    <t>Requirements-vs-build gap analysis (features built but undocumented, and requirements not yet built)</t>
  </si>
  <si>
    <t>Out of scope</t>
  </si>
  <si>
    <t>Penetration testing, authentication bypass, injection attacks or any form of exploitation. Access control is verified only by navigating as an authorised but incorrectly-privileged user.</t>
  </si>
  <si>
    <t>Load, stress and performance testing</t>
  </si>
  <si>
    <t>Server, database, infrastructure and backup verification</t>
  </si>
  <si>
    <t>Deletion of any pre-existing production record</t>
  </si>
  <si>
    <t>Method</t>
  </si>
  <si>
    <t>Each test case is executed against the live application through the browser, as the role named in the Role column.</t>
  </si>
  <si>
    <t>Status is recorded as Pass, Fail, Blocked, N/A or Observation. 'Observation' is used where behaviour is defensible but the requirement is silent.</t>
  </si>
  <si>
    <t>Every Fail is written up in the Defect Log with reproduction steps and severity.</t>
  </si>
  <si>
    <t>Every record created is logged in Test Data &amp; Cleanup for removal after sign-off.</t>
  </si>
  <si>
    <t>Severity definitions</t>
  </si>
  <si>
    <t>Data loss, incorrect financial figures, or a role able to act outside its permissions</t>
  </si>
  <si>
    <t>A documented requirement does not work; no workaround</t>
  </si>
  <si>
    <t>A requirement works incorrectly in some cases, or has an awkward workaround</t>
  </si>
  <si>
    <t>Minor functional or usability issue with little operational impact</t>
  </si>
  <si>
    <t>Wording, formatting or alignment only</t>
  </si>
  <si>
    <t>Test ID</t>
  </si>
  <si>
    <t>Req Ref</t>
  </si>
  <si>
    <t>Role</t>
  </si>
  <si>
    <t>Type</t>
  </si>
  <si>
    <t>Test Steps</t>
  </si>
  <si>
    <t>Expected Result</t>
  </si>
  <si>
    <t>Actual Result</t>
  </si>
  <si>
    <t>Status</t>
  </si>
  <si>
    <t>Severity</t>
  </si>
  <si>
    <t>Notes</t>
  </si>
  <si>
    <t>AC-01</t>
  </si>
  <si>
    <t>§2</t>
  </si>
  <si>
    <t>General</t>
  </si>
  <si>
    <t>Access</t>
  </si>
  <si>
    <t>As General, open /approvals (or approver route) directly by URL</t>
  </si>
  <si>
    <t>Access denied / redirect. No approval queue rendered.</t>
  </si>
  <si>
    <t>/approvals returns 'Not allowed — Your account does not have permission to view this page.'</t>
  </si>
  <si>
    <t>AC-02</t>
  </si>
  <si>
    <t>§2, §6</t>
  </si>
  <si>
    <t>As General, open the Inventory Manager fund-logging route directly by URL</t>
  </si>
  <si>
    <t>Access denied / redirect.</t>
  </si>
  <si>
    <t>/boms and /inventory/locations both return 'Not allowed'.</t>
  </si>
  <si>
    <t>AC-03</t>
  </si>
  <si>
    <t>§11</t>
  </si>
  <si>
    <t>As General, open the admin settings / threshold route directly by URL</t>
  </si>
  <si>
    <t>/admin/settings, /admin/users, /admin/audit-log all return 'Not allowed'.</t>
  </si>
  <si>
    <t>AC-04</t>
  </si>
  <si>
    <t>On My requisitions, confirm only the logged-in user's own requests are listed</t>
  </si>
  <si>
    <t>No other requester's requisitions visible.</t>
  </si>
  <si>
    <t>Only Gina General's own requisitions listed (REQ-000001 to 000007, all hers).</t>
  </si>
  <si>
    <t>No other requester's records leaked into the list.</t>
  </si>
  <si>
    <t>AC-05</t>
  </si>
  <si>
    <t>§4</t>
  </si>
  <si>
    <t>Negative</t>
  </si>
  <si>
    <t>Submit a request as Gina General, then check whether she can approve it herself</t>
  </si>
  <si>
    <t>Requester cannot approve own request.</t>
  </si>
  <si>
    <t>Ayesha (an approver) raised a 25,000 requisition and tried to submit it. Blocked: 'You are the approver for this requisition, and nobody is configured to approve it in your place. An administrator must assign another approver in Settings before you can submit this.'</t>
  </si>
  <si>
    <t>Self-approval is explicitly prevented. The message also reveals a substitute-approver concept in admin Settings - see AP-14.</t>
  </si>
  <si>
    <t>AC-06</t>
  </si>
  <si>
    <t>All</t>
  </si>
  <si>
    <t>Functional</t>
  </si>
  <si>
    <t>Compare the role badge on Dashboard against the nav items actually rendered</t>
  </si>
  <si>
    <t>Badge matches the permission set; no nav item shown that the role cannot use.</t>
  </si>
  <si>
    <t>Role badges match the rendered navigation for all five accounts. Admin sees an ADMINISTRATION section (Users, Departments, Settings, Audit log) that no other role sees.</t>
  </si>
  <si>
    <t>AC-07</t>
  </si>
  <si>
    <t>Anon</t>
  </si>
  <si>
    <t>Log out, then open a deep URL (e.g. /requisitions)</t>
  </si>
  <si>
    <t>Redirected to /login; no data leaked.</t>
  </si>
  <si>
    <t>Not executed — requires logging out, which would end the session hand-over.</t>
  </si>
  <si>
    <t>Retest when convenient.</t>
  </si>
  <si>
    <t>AC-08</t>
  </si>
  <si>
    <t>As General, attempt to open another user's requisition by guessing its reference/ID in the URL</t>
  </si>
  <si>
    <t>Access denied. Object-level authorisation enforced, not just menu hiding.</t>
  </si>
  <si>
    <t>Requisition IDs are UUIDs, so guessing another user's record is not feasible through the UI.</t>
  </si>
  <si>
    <t>Server-side object authorisation must be verified by the dev team with an API client. See D-013.</t>
  </si>
  <si>
    <t>AC-09</t>
  </si>
  <si>
    <t>Approver</t>
  </si>
  <si>
    <t>As Approver, confirm Inventory Manager screens (funds, BOM, returns) are not reachable</t>
  </si>
  <si>
    <t>Access denied / not rendered.</t>
  </si>
  <si>
    <t>As Imran (Inventory Manager), /admin/settings returns 'Not allowed'. IM nav exposes only Approvals, Expenses, Borrowing, All requisitions, Categories, Locations and Bills of Materials.</t>
  </si>
  <si>
    <t>AC-10</t>
  </si>
  <si>
    <t>Inv. Manager</t>
  </si>
  <si>
    <t>As Inventory Manager, confirm the approval action is not available on a pending request</t>
  </si>
  <si>
    <t>Cannot approve/reject unless also an assigned approver.</t>
  </si>
  <si>
    <t>The IM is a first-class approval stage, not an exception - every requisition goes to IM review before Approver 1 and 2.</t>
  </si>
  <si>
    <t>Undocumented workflow step; see DG-11.</t>
  </si>
  <si>
    <t>RF-01</t>
  </si>
  <si>
    <t>§3</t>
  </si>
  <si>
    <t>Open New requisition; confirm per-request fields exist: Department, Project, Urgency, Approval deadline, Reason</t>
  </si>
  <si>
    <t>All five present and set once per request.</t>
  </si>
  <si>
    <t>Department, Project, Urgency, Approval deadline and Reason all present, set once per request.</t>
  </si>
  <si>
    <t>RF-02</t>
  </si>
  <si>
    <t>Confirm each item line captures its own Item name and Quantity</t>
  </si>
  <si>
    <t>Per-line name + quantity present.</t>
  </si>
  <si>
    <t>Each item line has its own Item name and Quantity, plus Unit price.</t>
  </si>
  <si>
    <t>RF-03</t>
  </si>
  <si>
    <t>Click Add item three times</t>
  </si>
  <si>
    <t>Three additional independent item lines added.</t>
  </si>
  <si>
    <t>Add item creates independent lines; tested to 2 lines, focus moves to the new line.</t>
  </si>
  <si>
    <t>RF-04</t>
  </si>
  <si>
    <t>Remove a middle item line via the bin icon</t>
  </si>
  <si>
    <t>Correct line removed; remaining lines and totals re-index correctly.</t>
  </si>
  <si>
    <t>RF-05</t>
  </si>
  <si>
    <t>Calculation</t>
  </si>
  <si>
    <t>Enter Qty 3, Unit price 2,500</t>
  </si>
  <si>
    <t>Line total = 7,500.00</t>
  </si>
  <si>
    <t>Qty 3 x 2,500 = Line total 7,500.00</t>
  </si>
  <si>
    <t>RF-06</t>
  </si>
  <si>
    <t>Add a second line Qty 2 @ 1,000</t>
  </si>
  <si>
    <t>Items total = 9,500.00 (sum of line totals).</t>
  </si>
  <si>
    <t>Added 2 x 1,000; Items total = 9,500.00</t>
  </si>
  <si>
    <t>RF-07</t>
  </si>
  <si>
    <t>Add Transportation cost 500</t>
  </si>
  <si>
    <t>Requested amount = Items total + Transportation = 10,000.00</t>
  </si>
  <si>
    <t>Transportation 500 -&gt; Requested amount 10,000.00</t>
  </si>
  <si>
    <t>Transportation correctly rolls into Requested amount.</t>
  </si>
  <si>
    <t>RF-08</t>
  </si>
  <si>
    <t>Type in the Item field and check catalogue suggestions appear</t>
  </si>
  <si>
    <t>Catalogue items (e.g. Lenovo ThinkPad T14) offered from inventory.</t>
  </si>
  <si>
    <t>No catalogue picker exists. Typing 'Think' or 'Lenovo' produced no suggestions. DOM shows a plain &lt;input autocomplete='off'&gt; with no datalist, no combobox role, and 0 datalist elements on the page.</t>
  </si>
  <si>
    <t>D-002. Helper text 'Pick from the catalogue' and the permanent 'Not in the catalogue' badge promise a feature that is not wired up.</t>
  </si>
  <si>
    <t>RF-09</t>
  </si>
  <si>
    <t>Type a free-text item not in the catalogue</t>
  </si>
  <si>
    <t>Accepted; 'Not in the catalogue' badge shown.</t>
  </si>
  <si>
    <t>Free-text item accepted; 'Not in the catalogue' badge shown.</t>
  </si>
  <si>
    <t>Badge is always shown because no catalogue lookup exists (see RF-08).</t>
  </si>
  <si>
    <t>RF-10</t>
  </si>
  <si>
    <t>Click Save draft</t>
  </si>
  <si>
    <t>Saved; appears under the Drafts filter on My requisitions.</t>
  </si>
  <si>
    <t>Save draft works; draft appears in the list and under the Drafts filter.</t>
  </si>
  <si>
    <t>RF-11</t>
  </si>
  <si>
    <t>Reopen the saved draft and change quantity, save again</t>
  </si>
  <si>
    <t>Edits persist correctly.</t>
  </si>
  <si>
    <t>Draft reopens with Urgency, Reason and all item lines intact, but Department and Project both reset to 'No department'/'No project' in the form even though the record still holds Engineering/Test.</t>
  </si>
  <si>
    <t>D-004. Values are preserved on save, so this is a display defect, not data loss - but it invites the user to think they were never set.</t>
  </si>
  <si>
    <t>RF-12</t>
  </si>
  <si>
    <t>Submit for approval</t>
  </si>
  <si>
    <t>Status becomes Awaiting approval; reference REQ-nnnnnn assigned.</t>
  </si>
  <si>
    <t>Submit created REQ-000003 with status 'With the Inventory Manager'.</t>
  </si>
  <si>
    <t>RF-13</t>
  </si>
  <si>
    <t>Attach a supporting document (PDF), then submit</t>
  </si>
  <si>
    <t>File uploads, is listed on the request, and is downloadable by approvers.</t>
  </si>
  <si>
    <t>RF-14</t>
  </si>
  <si>
    <t>Confirm Project selected on the request carries through to the BOM later</t>
  </si>
  <si>
    <t>Project feeds the BOM (verified again in BM-02).</t>
  </si>
  <si>
    <t>RF-N01</t>
  </si>
  <si>
    <t>Click Submit for approval on a completely empty form</t>
  </si>
  <si>
    <t>Blocked with clear field-level validation; no request created.</t>
  </si>
  <si>
    <t>Submission blocked. Quantity and Unit price show 'Required'; Item shows 'String must contain at least 1 character(s)'.</t>
  </si>
  <si>
    <t>Blocking works, but the Item message is a raw validation-library string. See D-005.</t>
  </si>
  <si>
    <t>RF-N02</t>
  </si>
  <si>
    <t>Fill request details but leave all item lines blank, then submit</t>
  </si>
  <si>
    <t>Blocked — a request must contain at least one item.</t>
  </si>
  <si>
    <t>Covered by RF-N01 - the single blank item line blocks submission.</t>
  </si>
  <si>
    <t>RF-N03</t>
  </si>
  <si>
    <t>Set Quantity = 0</t>
  </si>
  <si>
    <t>Rejected or flagged; a zero-quantity line should not be submittable.</t>
  </si>
  <si>
    <t>RF-N04</t>
  </si>
  <si>
    <t>Set Quantity = -5</t>
  </si>
  <si>
    <t>Rejected. Negative quantity must not be accepted.</t>
  </si>
  <si>
    <t>Quantity -5 rejected: 'Number must be greater than 0'.</t>
  </si>
  <si>
    <t>RF-N05</t>
  </si>
  <si>
    <t>Set Quantity = 2.5</t>
  </si>
  <si>
    <t>Defined behaviour: either rejected or handled consistently in totals and BOM.</t>
  </si>
  <si>
    <t>RF-N06</t>
  </si>
  <si>
    <t>Set Unit price = -1000</t>
  </si>
  <si>
    <t>Rejected. Negative price must not reduce the request total.</t>
  </si>
  <si>
    <t>Unit price -1000 rejected: 'Number must be greater than or equal to 0'.</t>
  </si>
  <si>
    <t>RF-N07</t>
  </si>
  <si>
    <t>Edge</t>
  </si>
  <si>
    <t>Set Unit price = 0 with Qty 1 and submit</t>
  </si>
  <si>
    <t>Defined behaviour; note which approval path a 0.00 request takes.</t>
  </si>
  <si>
    <t>RF-N08</t>
  </si>
  <si>
    <t>§3, §5</t>
  </si>
  <si>
    <t>Set Approval deadline to yesterday and submit</t>
  </si>
  <si>
    <t>Blocked — helper text states 'Pick today or later'.</t>
  </si>
  <si>
    <t>Approval deadline set to 2026-08-01 (12 days past). No validation error. REQ-000006 submitted successfully and was immediately tagged 'Overdue'.</t>
  </si>
  <si>
    <t>D-003. Helper text says 'Pick today or later' but nothing enforces it. A request can be created already overdue, firing the section 5 reminder at submit time.</t>
  </si>
  <si>
    <t>RF-N09</t>
  </si>
  <si>
    <t>Enter Qty 999999999 and Unit price 999999999</t>
  </si>
  <si>
    <t>No overflow, no scientific notation, no rounding corruption in the stored total.</t>
  </si>
  <si>
    <t>99,999,999,999 rejected on submit: 'Number must be less than or equal to 1000000000'. No overflow.</t>
  </si>
  <si>
    <t>Cap works. The message prints the bound unformatted (1000000000) and only fires on submit, while the Total meanwhile displays the invalid figure.</t>
  </si>
  <si>
    <t>RF-N10</t>
  </si>
  <si>
    <t>Paste a 5,000-character string into Reason</t>
  </si>
  <si>
    <t>Either accepted and displayed intact, or limited with a clear message. No truncation without warning.</t>
  </si>
  <si>
    <t>RF-N11</t>
  </si>
  <si>
    <t>Enter the literal text &lt;b&gt;QA-TEST&lt;/b&gt; in Item name and Reason, submit, then view the request</t>
  </si>
  <si>
    <t>Rendered as literal text on the detail page, not as HTML. Output encoding check only.</t>
  </si>
  <si>
    <t>Item name '&lt;b&gt;QA-TEST-Encoding&lt;/b&gt;' stored and rendered as literal text on REQ-000007. No &lt;b&gt; elements in the DOM.</t>
  </si>
  <si>
    <t>Output encoding is correct.</t>
  </si>
  <si>
    <t>RF-N12</t>
  </si>
  <si>
    <t>Submit leaving Department = 'No department' and Project = 'No project'</t>
  </si>
  <si>
    <t>Defined behaviour. Note: doc §3 implies both are required per request.</t>
  </si>
  <si>
    <t>REQ-000003 submitted with no Department, no Project, no Reason and no Approval deadline. All accepted.</t>
  </si>
  <si>
    <t>D-006. Doc section 5's reminder flow depends on the deadline; a requisition with no deadline can never trigger it.</t>
  </si>
  <si>
    <t>RF-N13</t>
  </si>
  <si>
    <t>Add the same catalogue item on two separate lines</t>
  </si>
  <si>
    <t>Defined behaviour: merged, or kept separate and totalled correctly.</t>
  </si>
  <si>
    <t>RF-N14</t>
  </si>
  <si>
    <t>Enter Transportation amount with no items</t>
  </si>
  <si>
    <t>Requested amount reflects transport only; note whether this is allowed.</t>
  </si>
  <si>
    <t>RF-N15</t>
  </si>
  <si>
    <t>Start filling the form, navigate away, come back</t>
  </si>
  <si>
    <t>Either the draft is preserved or the user is warned about unsaved changes.</t>
  </si>
  <si>
    <t>AP-01</t>
  </si>
  <si>
    <t>General/Approver</t>
  </si>
  <si>
    <t>Submit a request totalling 10,000 BDT (below 15,000)</t>
  </si>
  <si>
    <t>Exactly 1 approver assigned.</t>
  </si>
  <si>
    <t>After assigning the sub-threshold approver, REQ-000009 at 10,000 submitted successfully with APPROVERS REQUIRED 1 and Approver 1 = Ayesha Approver. No Approver 2 slot appeared.</t>
  </si>
  <si>
    <t>Unblocked by fixing the configuration - see D-001.</t>
  </si>
  <si>
    <t>AP-02</t>
  </si>
  <si>
    <t>Submit a request totalling 27,700 BDT (above 15,000)</t>
  </si>
  <si>
    <t>Exactly 2 approvers assigned.</t>
  </si>
  <si>
    <t>REQ-000006 at 20,000 -&gt; APPROVERS REQUIRED 2 (Ayesha Approver, Farhan Finance).</t>
  </si>
  <si>
    <t>AP-03</t>
  </si>
  <si>
    <t>Boundary</t>
  </si>
  <si>
    <t>Submit a request totalling exactly 15,000.00 BDT</t>
  </si>
  <si>
    <t>Per doc ('above the threshold'), 15,000 is NOT above — expect 1 approver. Confirm intended.</t>
  </si>
  <si>
    <t>REQUIREMENTS DISCREPANCY, not a code defect. The Settings help text reads 'Requisitions AT OR ABOVE this amount need the higher number of approvers', so &gt;= is deliberate and documented in the product. The requirements doc says 'above the threshold'.</t>
  </si>
  <si>
    <t>Reclassified from Fail. Update the requirements doc, or change the rule - a product decision, not a bug.</t>
  </si>
  <si>
    <t>AP-04</t>
  </si>
  <si>
    <t>Submit a request totalling 15,001 BDT</t>
  </si>
  <si>
    <t>2 approvers assigned.</t>
  </si>
  <si>
    <t>REQ-000005 at 15,100 -&gt; 2 approvers.</t>
  </si>
  <si>
    <t>AP-05</t>
  </si>
  <si>
    <t>Submit a request totalling 14,999 BDT</t>
  </si>
  <si>
    <t>1 approver assigned.</t>
  </si>
  <si>
    <t>14,999 is treated as below threshold and now routes to exactly 1 approver.</t>
  </si>
  <si>
    <t>AP-06</t>
  </si>
  <si>
    <t>Submit items of 14,800 + Transportation 300 (= 15,100)</t>
  </si>
  <si>
    <t>Confirm whether the threshold is applied to Requested amount incl. transport. Doc is silent — flag either way.</t>
  </si>
  <si>
    <t>ANSWERED: items 14,800 + transport 300 = 15,100 -&gt; 2 approvers. The threshold is applied to the transport-inclusive Requested amount, not the items total.</t>
  </si>
  <si>
    <t>D-008. Not specified in the doc. Means transportation cost can move a request across the approval threshold.</t>
  </si>
  <si>
    <t>AP-07</t>
  </si>
  <si>
    <t>On a 2-approver request, have Approver B approve first, then Approver A</t>
  </si>
  <si>
    <t>No fixed sequence — both orders accepted.</t>
  </si>
  <si>
    <t>Fully confirmed in both directions. On REQ-000003 Ayesha (Approver 1) acted first; on REQ-000005 and REQ-000001 Farhan (Approver 2) acted first. In every case the request stayed 'Awaiting approval' until the second approver signed.</t>
  </si>
  <si>
    <t>AP-08</t>
  </si>
  <si>
    <t>On a 2-approver request, Approver A rejects while B has not responded</t>
  </si>
  <si>
    <t>Whole request immediately Rejected. B's response not required.</t>
  </si>
  <si>
    <t>IM rejected REQ-000006. Status became Rejected, and both Approver 1 and Approver 2 were marked 'Skipped'. Confirmation dialog warned: 'Rejecting ends the whole request. The other approvers will not be asked, and it cannot be reopened.'</t>
  </si>
  <si>
    <t>Behaves exactly as doc section 4 requires. Still to verify at the Approver 1 / Approver 2 stage.</t>
  </si>
  <si>
    <t>AP-09</t>
  </si>
  <si>
    <t>On a 2-approver request, both approvers approve</t>
  </si>
  <si>
    <t>Status becomes Approved.</t>
  </si>
  <si>
    <t>Both approvers approved REQ-000003 -&gt; status Approved. Also verified on REQ-000005 and REQ-000001.</t>
  </si>
  <si>
    <t>AP-10</t>
  </si>
  <si>
    <t>On a 2-approver request, only Approver A approves</t>
  </si>
  <si>
    <t>Status stays Awaiting approval; outstanding approver clearly indicated.</t>
  </si>
  <si>
    <t>After Ayesha approved REQ-000003, status remained 'Awaiting approval', Approver 1 showed 'Approved by 8/13/2026, 2:20:39 PM' and Approver 2 remained 'Waiting on'.</t>
  </si>
  <si>
    <t>AP-11</t>
  </si>
  <si>
    <t>As Approver A, view a part-approved request</t>
  </si>
  <si>
    <t>Can see which assigned approver(s) have not yet responded, by name.</t>
  </si>
  <si>
    <t>The Progress panel names each approver, their designation, and their state (Waiting on / Not reached yet / Approved by / Skipped) with timestamps.</t>
  </si>
  <si>
    <t>Exceeds the requirement.</t>
  </si>
  <si>
    <t>AP-12</t>
  </si>
  <si>
    <t>After approving, attempt to approve or reject the same request again</t>
  </si>
  <si>
    <t>Blocked; action no longer available.</t>
  </si>
  <si>
    <t>Once Ayesha had approved, the Approve and Reject controls were replaced by a single 'Withdraw approval' action. She could not approve twice.</t>
  </si>
  <si>
    <t>Note the withdraw capability itself - see YY-03.</t>
  </si>
  <si>
    <t>AP-13</t>
  </si>
  <si>
    <t>Attempt to approve a request that is already Rejected</t>
  </si>
  <si>
    <t>Blocked; terminal state is final.</t>
  </si>
  <si>
    <t>Once REQ-000006 was Rejected, no Approve or Reject control remained on the record.</t>
  </si>
  <si>
    <t>AP-14</t>
  </si>
  <si>
    <t>Approver A toggles ON a delegate, then the delegate opens the pending request</t>
  </si>
  <si>
    <t>Delegate can approve/reject on A's behalf.</t>
  </si>
  <si>
    <t>CONFIRMED ABSENT across every surface: the approver's own account page, the admin Edit user form (Full name, Email, Designation, Department, Roles only), and admin Settings (which offers only sub-threshold approver and the two approver slots). No delegate route exists in the app.</t>
  </si>
  <si>
    <t>D-023 stands. Note the BOM's frozen approval chain has an 'ON BEHALF OF' column, so delegation appears modelled in the data with no UI to drive it.</t>
  </si>
  <si>
    <t>AP-15</t>
  </si>
  <si>
    <t>Delegate approves; inspect the request history</t>
  </si>
  <si>
    <t>Action attributed to the delegate acting for Approver A — not silently recorded as A.</t>
  </si>
  <si>
    <t>Cannot execute - no delegate mechanism available to the approver.</t>
  </si>
  <si>
    <t>Depends on D-023.</t>
  </si>
  <si>
    <t>AP-16</t>
  </si>
  <si>
    <t>Approver A toggles the delegate OFF, delegate reopens the request</t>
  </si>
  <si>
    <t>Delegate can no longer act.</t>
  </si>
  <si>
    <t>AP-17</t>
  </si>
  <si>
    <t>Delegate attempts to approve a request where they are neither approver nor delegate</t>
  </si>
  <si>
    <t>Blocked.</t>
  </si>
  <si>
    <t>AP-18</t>
  </si>
  <si>
    <t>After submitting, attempt to edit amounts or the approver list</t>
  </si>
  <si>
    <t>Blocked — UI states 'Once submitted the amounts and the approver list are fixed'.</t>
  </si>
  <si>
    <t>The requester cannot alter amounts after submission, and 'Threshold at submit' is stamped on the record. However an approver CAN change the sanctioned amount afterwards - see ZZ-01.</t>
  </si>
  <si>
    <t>Partially holds. The approver list is fixed; the amount is not.</t>
  </si>
  <si>
    <t>AP-19</t>
  </si>
  <si>
    <t>§4, §11</t>
  </si>
  <si>
    <t>Admin</t>
  </si>
  <si>
    <t>Regression</t>
  </si>
  <si>
    <t>Change the threshold to 5,000, then open a pre-existing 10,000 request</t>
  </si>
  <si>
    <t>Existing request keeps its original approver list; change is not retroactive.</t>
  </si>
  <si>
    <t>Threshold raised to 20,000 then restored. REQ-000009 still reads 'Threshold at submit: 15,000' with 1 approver; earlier requisitions likewise kept their original stamp. Changes are not retroactive.</t>
  </si>
  <si>
    <t>Well designed - the threshold is snapshotted per requisition.</t>
  </si>
  <si>
    <t>AP-20</t>
  </si>
  <si>
    <t>Reject a request and check whether a rejection reason is captured</t>
  </si>
  <si>
    <t>Reason captured and shown to the requester (doc §5 requires notification; reason is good practice).</t>
  </si>
  <si>
    <t>Rejection captured a free-text note, surfaced to the requester via a 'See why' link on the Progress panel.</t>
  </si>
  <si>
    <t>Optional rather than mandatory - consider requiring it.</t>
  </si>
  <si>
    <t>AP-21</t>
  </si>
  <si>
    <t>Confirm the same person is not assigned twice as both approvers on an above-threshold request</t>
  </si>
  <si>
    <t>Two distinct approvers.</t>
  </si>
  <si>
    <t>Approver 1 (Ayesha Approver) and Approver 2 (Farhan Finance) are distinct named users.</t>
  </si>
  <si>
    <t>NT-01</t>
  </si>
  <si>
    <t>§5</t>
  </si>
  <si>
    <t>Submit a request, then open the bell icon as the assigned approver</t>
  </si>
  <si>
    <t>New pending-approval notification present.</t>
  </si>
  <si>
    <t>Create a request with the approval deadline set to today; let the deadline pass (or use the earliest reproducible trigger)</t>
  </si>
  <si>
    <t>Approver is pinged with a reminder. Record the exact trigger time and mechanism.</t>
  </si>
  <si>
    <t>Not executed - the reminder is triggered by the approval deadline passing, which could not be forced within the session. Note REQ-000006 was tagged 'Overdue' immediately on submission with a past deadline, so the overdue evaluation itself works.</t>
  </si>
  <si>
    <t>Needs either a scheduled-job run or a manual trigger. Recommend verifying separately.</t>
  </si>
  <si>
    <t>NT-03</t>
  </si>
  <si>
    <t>Have an approver reject a request; check the requester's notifications</t>
  </si>
  <si>
    <t>Original requester is notified of the rejection.</t>
  </si>
  <si>
    <t>On rejection the system confirmed 'Rejected. The requester has been told.'</t>
  </si>
  <si>
    <t>Confirmed from the actor's side; still to be confirmed in Gina's own notification list.</t>
  </si>
  <si>
    <t>NT-04</t>
  </si>
  <si>
    <t>Have a request fully approved; check the requester's notifications</t>
  </si>
  <si>
    <t>Note whether an approval notification exists. Not required by the doc — record as observation.</t>
  </si>
  <si>
    <t>NT-05</t>
  </si>
  <si>
    <t>Check the bell badge count against the number of unread items</t>
  </si>
  <si>
    <t>Count is accurate; clears correctly once read.</t>
  </si>
  <si>
    <t>Bell showed a '6 unread notifications' badge as Imran, and the panel listed items with timestamps.</t>
  </si>
  <si>
    <t>NT-06</t>
  </si>
  <si>
    <t>Click a notification</t>
  </si>
  <si>
    <t>Deep-links to the correct requisition.</t>
  </si>
  <si>
    <t>Not fully executed.</t>
  </si>
  <si>
    <t>NT-07</t>
  </si>
  <si>
    <t>Let a deadline pass on a request that is already approved or rejected</t>
  </si>
  <si>
    <t>No reminder sent for a settled request.</t>
  </si>
  <si>
    <t>NT-08</t>
  </si>
  <si>
    <t>Check whether the deadline reminder repeats or fires once</t>
  </si>
  <si>
    <t>Behaviour is defined and not a repeating spam loop. Doc says 'pinged' — clarify intent.</t>
  </si>
  <si>
    <t>NT-09</t>
  </si>
  <si>
    <t>Determine the delivery channel (in-app only, email, or both)</t>
  </si>
  <si>
    <t>Channel documented. Doc §5 does not specify — confirm with product owner.</t>
  </si>
  <si>
    <t>FL-01</t>
  </si>
  <si>
    <t>§6</t>
  </si>
  <si>
    <t>Open an approved request and log funds received</t>
  </si>
  <si>
    <t>Funds recorded against that specific requisition.</t>
  </si>
  <si>
    <t>Recorded money received against REQ-000003 after sending it to Accounts. Receipts are captured with amount, date received, reference and note.</t>
  </si>
  <si>
    <t>FL-02</t>
  </si>
  <si>
    <t>Inspect the request after funding</t>
  </si>
  <si>
    <t>Requested amount, approved amount and funded amount are all visible and distinct.</t>
  </si>
  <si>
    <t>The Money and purchasing panel shows Approved, Funded, Spent, Transportation, Returned to Accounts and Unspent side by side, plus itemised RECEIPTS and PURCHASES.</t>
  </si>
  <si>
    <t>Exceeds doc section 6, which asks only for requested vs approved vs funded.</t>
  </si>
  <si>
    <t>FL-03</t>
  </si>
  <si>
    <t>On a 50,000 approved request, log 30,000</t>
  </si>
  <si>
    <t>Partial funding accepted; remaining 20,000 shown.</t>
  </si>
  <si>
    <t>Logged 30,000 against an approved 99,000. Status became 'Partly funded', Funded 30,000.00, Unspent 30,000.00.</t>
  </si>
  <si>
    <t>FL-04</t>
  </si>
  <si>
    <t>Log a further 20,000 against the same request</t>
  </si>
  <si>
    <t>Fundings accumulate to 50,000; request shows fully funded.</t>
  </si>
  <si>
    <t>Logged a second tranche of 20,000. Funded accumulated to 50,000.00 and both receipts are listed with their own references.</t>
  </si>
  <si>
    <t>FL-05</t>
  </si>
  <si>
    <t>Verify the outstanding balance after each partial funding</t>
  </si>
  <si>
    <t>Balance = approved − sum(funded), correct to 2 decimals.</t>
  </si>
  <si>
    <t>Balances reconcile at every step: Funded 50,000.00, Unspent 50,000.00 against Approved 99,000.00.</t>
  </si>
  <si>
    <t>FL-06</t>
  </si>
  <si>
    <t>Attempt to log 60,000 against a 50,000 approved request</t>
  </si>
  <si>
    <t>Blocked or explicitly warned. Over-funding must not pass silently.</t>
  </si>
  <si>
    <t>Attempted 150,000 against an approved 99,000. Blocked - no receipt created.</t>
  </si>
  <si>
    <t>Correctly blocked, but the only feedback is a toast reading 'Please correct the highlighted fields' with NO field highlighted and no reason given. See AA-01.</t>
  </si>
  <si>
    <t>FL-07</t>
  </si>
  <si>
    <t>Attempt to log a negative funding amount</t>
  </si>
  <si>
    <t>Attempted -5,000. Blocked, no receipt created.</t>
  </si>
  <si>
    <t>Same unhelpful feedback as FL-06 - see AA-01.</t>
  </si>
  <si>
    <t>FL-08</t>
  </si>
  <si>
    <t>Attempt to log funds against a request still Awaiting approval</t>
  </si>
  <si>
    <t>Blocked — funding should follow approval.</t>
  </si>
  <si>
    <t>Structurally prevented. 'Record money received' only appears after the requisition has been approved, BOM'd and sent to Accounts. REQ-000007 (still at IM review) offers no funding action at all.</t>
  </si>
  <si>
    <t>FL-09</t>
  </si>
  <si>
    <t>Attempt to log funds against a Rejected request</t>
  </si>
  <si>
    <t>Structurally prevented - a rejected requisition exposes no money panel.</t>
  </si>
  <si>
    <t>FL-10</t>
  </si>
  <si>
    <t>Review the funding history on a partially funded request</t>
  </si>
  <si>
    <t>Each tranche listed with amount, date and who logged it.</t>
  </si>
  <si>
    <t>RECEIPTS lists each tranche with amount, reference and date received.</t>
  </si>
  <si>
    <t>Does not show which user logged the receipt - worth adding for an auditable money trail.</t>
  </si>
  <si>
    <t>FL-11</t>
  </si>
  <si>
    <t>Log 0 as a funding amount</t>
  </si>
  <si>
    <t>Rejected or no-op; must not create an empty tranche.</t>
  </si>
  <si>
    <t>FL-12</t>
  </si>
  <si>
    <t>Confirm no automatic notification fires when a remaining tranche is logged</t>
  </si>
  <si>
    <t>Matches doc §6 — manual check-back is the intended design, not a defect.</t>
  </si>
  <si>
    <t>Confirmed - no notification is raised when a further tranche is logged, matching doc section 6's intended manual check-back.</t>
  </si>
  <si>
    <t>IV-01</t>
  </si>
  <si>
    <t>§7</t>
  </si>
  <si>
    <t>Add a purchased laptop to inventory</t>
  </si>
  <si>
    <t>Storage ID auto-assigned in the LAP-nnnn pattern.</t>
  </si>
  <si>
    <t>IV-02</t>
  </si>
  <si>
    <t>Add a second laptop</t>
  </si>
  <si>
    <t>Storage ID increments and is unique; no collision with existing IDs.</t>
  </si>
  <si>
    <t>IV-03</t>
  </si>
  <si>
    <t>Enter a location manually for a stored item</t>
  </si>
  <si>
    <t>Free-text location saved against the item.</t>
  </si>
  <si>
    <t>Locations are a structured register (Meta / 1A, Meta / 1B, Meta / 2A, Nvidia / 3C, Nvidia / 4D) selected from a dropdown, not free text.</t>
  </si>
  <si>
    <t>Doc section 7 says 'manually entered location'. The build is better - update the doc.</t>
  </si>
  <si>
    <t>IV-04</t>
  </si>
  <si>
    <t>Change that item's location to a new value</t>
  </si>
  <si>
    <t>Change accepted.</t>
  </si>
  <si>
    <t>Moved 2 units from Meta / 1A to Meta / 2A with a note. Meta / 1A went 5 -&gt; 3, Meta / 2A 0 -&gt; 2, totals unchanged.</t>
  </si>
  <si>
    <t>IV-05</t>
  </si>
  <si>
    <t>Open the item's location history</t>
  </si>
  <si>
    <t>Previous and new location listed with timestamp and the user who moved it.</t>
  </si>
  <si>
    <t>Movement log records type, quantity, from -&gt; to compartments, note, actor and timestamp for every event (Received, Issued, Returned, Moved).</t>
  </si>
  <si>
    <t>Full provenance. Exceeds the requirement.</t>
  </si>
  <si>
    <t>IV-06</t>
  </si>
  <si>
    <t>Confirm Laptops and R&amp;D Hardware are movable/trackable</t>
  </si>
  <si>
    <t>Both categories support location tracking.</t>
  </si>
  <si>
    <t>Laptops and R&amp;D Hardware both carry 'Track stock for this category'.</t>
  </si>
  <si>
    <t>IV-07</t>
  </si>
  <si>
    <t>Check the Furniture row (FRN-0001 Office chair)</t>
  </si>
  <si>
    <t>Status reads 'Not tracked', consistent with doc §7.</t>
  </si>
  <si>
    <t>FRN-0001 Office chair shows status 'Not tracked', matching doc section 7.</t>
  </si>
  <si>
    <t>IV-08</t>
  </si>
  <si>
    <t>Filter by each category in turn</t>
  </si>
  <si>
    <t>Filter returns only matching rows.</t>
  </si>
  <si>
    <t>Category dropdown present on the inventory list with all four categories.</t>
  </si>
  <si>
    <t>IV-09</t>
  </si>
  <si>
    <t>Toggle 'In stock only'</t>
  </si>
  <si>
    <t>Only items with Available &gt; 0 listed.</t>
  </si>
  <si>
    <t>IV-10</t>
  </si>
  <si>
    <t>Toggle 'Show archived'</t>
  </si>
  <si>
    <t>Archived items appear; hidden again when toggled off.</t>
  </si>
  <si>
    <t>IV-11</t>
  </si>
  <si>
    <t>Search by Storage ID (LAP-0001) and by name fragment ('ThinkPad')</t>
  </si>
  <si>
    <t>Both return the expected row.</t>
  </si>
  <si>
    <t>Not executed.</t>
  </si>
  <si>
    <t>IV-12</t>
  </si>
  <si>
    <t>Compare Available against Total owned − In project use for every row</t>
  </si>
  <si>
    <t>Arithmetic correct on all rows.</t>
  </si>
  <si>
    <t>All 4 rows correct: 10-0=10, 4-0=4, 0-0=0, 55-0=55. After borrowing 2, Available correctly moved to 8 with Reserved 2.</t>
  </si>
  <si>
    <t>IV-13</t>
  </si>
  <si>
    <t>Attempt to edit a recorded stock movement</t>
  </si>
  <si>
    <t>Blocked — page states 'Every movement is recorded and cannot be edited afterwards'.</t>
  </si>
  <si>
    <t>No edit control is offered on any recorded movement; the inventory header states movements cannot be edited afterwards.</t>
  </si>
  <si>
    <t>Consistent with doc section 7.</t>
  </si>
  <si>
    <t>IV-14</t>
  </si>
  <si>
    <t>§7, §11</t>
  </si>
  <si>
    <t>Check whether the trackable-category list is configurable</t>
  </si>
  <si>
    <t>Extendable without a code change (doc §11 open item). Record as gap if hardcoded.</t>
  </si>
  <si>
    <t>The Categories screen exposes a per-category 'Track stock for this category' toggle plus 'New category' and 'Deactivate'. Furniture is set to 'Not tracked'.</t>
  </si>
  <si>
    <t>Fully satisfies the doc section 11 open item - trackable categories are configurable, no code change needed.</t>
  </si>
  <si>
    <t>IV-15</t>
  </si>
  <si>
    <t>Enter a duplicate Storage ID manually, if the field is editable</t>
  </si>
  <si>
    <t>Rejected — Storage IDs must be unique.</t>
  </si>
  <si>
    <t>IV-16</t>
  </si>
  <si>
    <t>Trace a funded request through to inventory</t>
  </si>
  <si>
    <t>Purchased items from the request can be logged into stock and linked back to the requisition.</t>
  </si>
  <si>
    <t>The requisition lifecycle continues past Funded into Purchased, Verified and In stock, with a PURCHASES section on the requisition, so the link from funded requisition to received inventory is modelled.</t>
  </si>
  <si>
    <t>Purchased/Verified/In stock stages not exercised in this session.</t>
  </si>
  <si>
    <t>RT-01</t>
  </si>
  <si>
    <t>§8</t>
  </si>
  <si>
    <t>Borrow an available product from Products</t>
  </si>
  <si>
    <t>Appears in My borrowings with the correct status.</t>
  </si>
  <si>
    <t>Borrowed 2 x Lenovo ThinkPad T14 from Meta / 1A. BR-000001 created with status Pending, awaiting Inventory Manager review.</t>
  </si>
  <si>
    <t>RT-02</t>
  </si>
  <si>
    <t>Log the borrowed item as returned</t>
  </si>
  <si>
    <t>Item logged back into storage.</t>
  </si>
  <si>
    <t>Approved BR-000001 (status Pending -&gt; Out, 'Approved and issued'), then recorded a return.</t>
  </si>
  <si>
    <t>RT-03</t>
  </si>
  <si>
    <t>After return, check the item's availability</t>
  </si>
  <si>
    <t>Available for internal reissue to another requester (doc §8).</t>
  </si>
  <si>
    <t>Returned 1 of 2 units in 'Damaged' condition to a different compartment. The unit went to QUARANTINED 1, not back into Available.</t>
  </si>
  <si>
    <t>Damaged stock is correctly withheld from reissue. Better than doc section 8 specifies.</t>
  </si>
  <si>
    <t>RT-04</t>
  </si>
  <si>
    <t>Track Available before borrow, after borrow, after return</t>
  </si>
  <si>
    <t>Decrements on borrow, increments back on return. No drift.</t>
  </si>
  <si>
    <t>Full cycle verified. Borrow: Available 10-&gt;8, Reserved 2. Issue: On hand 10-&gt;8, In project use 2, Reserved 0. Partial damaged return: On hand 9, Available 8, In project use 1, Quarantined 1. Total owned stayed 10 throughout.</t>
  </si>
  <si>
    <t>Arithmetic reconciles at every step.</t>
  </si>
  <si>
    <t>RT-05</t>
  </si>
  <si>
    <t>Check the Pending / Out / Returned / Overdue filters</t>
  </si>
  <si>
    <t>Each filter shows the correct subset.</t>
  </si>
  <si>
    <t>Statuses progressed Pending -&gt; Out -&gt; Partly returned, with '1 still out' shown. Filters All/Pending/Out/Returned/Overdue present.</t>
  </si>
  <si>
    <t>RT-06</t>
  </si>
  <si>
    <t>Attempt to borrow more units than Available</t>
  </si>
  <si>
    <t>Requested 99 from a compartment holding 7. Server rejected: 'There is not enough stock in that compartment.'</t>
  </si>
  <si>
    <t>Correctly blocked, but only after submit - 'Available: 7 pcs' is displayed right above the field and could be enforced client-side.</t>
  </si>
  <si>
    <t>RT-07</t>
  </si>
  <si>
    <t>Attempt to return more units than were borrowed</t>
  </si>
  <si>
    <t>The return dialog states 'Still out: 2 pcs' and supports partial returns.</t>
  </si>
  <si>
    <t>Over-return not yet attempted.</t>
  </si>
  <si>
    <t>RT-08</t>
  </si>
  <si>
    <t>Attempt to borrow a Furniture (not tracked) item</t>
  </si>
  <si>
    <t>Defined behaviour — either blocked or clearly explained.</t>
  </si>
  <si>
    <t>RT-09</t>
  </si>
  <si>
    <t>Return an item in damaged/unusable condition, if condition capture exists</t>
  </si>
  <si>
    <t>Note whether condition is captured. Doc is silent — record as gap if the item silently returns to available stock.</t>
  </si>
  <si>
    <t>Return condition is a required choice: Good / Partially damaged but usable / Damaged / Not working. Recorded against the movement and shown as 'Most recent return' on the product.</t>
  </si>
  <si>
    <t>Answers the gap raised in the plan - condition IS captured.</t>
  </si>
  <si>
    <t>RT-10</t>
  </si>
  <si>
    <t>Check that a returned item retains its Storage ID and location history</t>
  </si>
  <si>
    <t>History is continuous across the borrow/return cycle.</t>
  </si>
  <si>
    <t>Storage ID LAP-0001 and the full movement history persisted unbroken across borrow, issue, return and move.</t>
  </si>
  <si>
    <t>BM-01</t>
  </si>
  <si>
    <t>§9</t>
  </si>
  <si>
    <t>Generate a BOM from an approved requisition</t>
  </si>
  <si>
    <t>BOM created and linked to the originating request.</t>
  </si>
  <si>
    <t>Generated BOM-000001 from three approved requisitions (REQ-000001, REQ-000005, REQ-000003).</t>
  </si>
  <si>
    <t>BM-02</t>
  </si>
  <si>
    <t>Check the auto-filled fields against doc §9 table</t>
  </si>
  <si>
    <t>Item, Quantity, Purpose (= request Reason) and Linked project all auto-filled from the request.</t>
  </si>
  <si>
    <t>Auto-filled from the requisition: item name, original quantity ('Originally 55 on the requisition'), unit cost, and the requisition's own transportation line. Department carries through. PURPOSE column exists but rendered '—' for all lines (no source requisition carried a Reason). LINKED PROJECT is NOT carried onto the BOM - REQ-000001 has project 'Test' and the BOM shows only '· Engineering'.</t>
  </si>
  <si>
    <t>D-027. Doc section 9's field table requires Linked project on the BOM. Purpose could not be verified - see note.</t>
  </si>
  <si>
    <t>BM-03</t>
  </si>
  <si>
    <t>Enter Unit cost on the BOM</t>
  </si>
  <si>
    <t>Editable by the Inventory Manager.</t>
  </si>
  <si>
    <t>Unit cost is editable per line by the Inventory Manager and pre-filled from the requisition.</t>
  </si>
  <si>
    <t>BM-04</t>
  </si>
  <si>
    <t>Check Total cost per line and overall</t>
  </si>
  <si>
    <t>Total = quantity × unit cost; overall total sums correctly.</t>
  </si>
  <si>
    <t>Per-line total recalculates correctly (qty 3 x 1,000 = Line total 3,000). The saved BOM totals are correct: Items subtotal 32,800, Transportation 500, BOM subtotal 33,300.</t>
  </si>
  <si>
    <t>The pre-generation preview subtotal is stale - see AA-02.</t>
  </si>
  <si>
    <t>BM-05</t>
  </si>
  <si>
    <t>Enter a Vendor value</t>
  </si>
  <si>
    <t>Free text accepted and saved.</t>
  </si>
  <si>
    <t>Vendor is free text per line and persisted to the generated BOM.</t>
  </si>
  <si>
    <t>BM-06</t>
  </si>
  <si>
    <t>Generate a BOM from a request containing 3+ item lines</t>
  </si>
  <si>
    <t>Every line carried over; none dropped.</t>
  </si>
  <si>
    <t>Three requisitions batched into one BOM, each shown as its own section with its own lines, transportation, subtotal and frozen approval chain.</t>
  </si>
  <si>
    <t>BM-07</t>
  </si>
  <si>
    <t>Generate a BOM covering multiple originating requests</t>
  </si>
  <si>
    <t>Doc §9 says 'submission(s)' — confirm multi-request BOM is supported, or flag as gap.</t>
  </si>
  <si>
    <t>Confirmed - multi-requisition batching is the intended design and works.</t>
  </si>
  <si>
    <t>BM-08</t>
  </si>
  <si>
    <t>Print the BOM</t>
  </si>
  <si>
    <t>Print view is clean, paginated and legible.</t>
  </si>
  <si>
    <t>BOM renders to a real PDF: HTTP 200, Content-Type application/pdf, %PDF-1.4, 220,841 bytes, served from a signed single-use style URL and opening in the browser with document title 'BOM-000001'. Status moves 'PDF pending' -&gt; 'PDF on file' with Download PDF / Re-render PDF.</t>
  </si>
  <si>
    <t>Figure-by-figure comparison of the PDF's rendered content was not possible in-session - recommend one human eyeball. See EX-03.</t>
  </si>
  <si>
    <t>BM-09</t>
  </si>
  <si>
    <t>Attempt to generate a BOM from a request that is not yet approved</t>
  </si>
  <si>
    <t>Defined behaviour; flag if an unapproved request can produce a BOM.</t>
  </si>
  <si>
    <t>Confirmed earlier - unapproved requisitions are not offered for batching.</t>
  </si>
  <si>
    <t>BM-10</t>
  </si>
  <si>
    <t>Compare BOM unit cost against the Unit price the requester entered</t>
  </si>
  <si>
    <t>Note the relationship. Doc §9 says the IM enters unit cost, but the request form already captures unit price — confirm which is authoritative.</t>
  </si>
  <si>
    <t>ANSWERED. The requisition's unit price pre-fills the BOM's unit cost, which the IM may then override. The BOM figure is authoritative for the payable document; the requisition figure drives approval routing.</t>
  </si>
  <si>
    <t>Resolves the DG-01 ambiguity.</t>
  </si>
  <si>
    <t>EX-01</t>
  </si>
  <si>
    <t>§10</t>
  </si>
  <si>
    <t>Export a BOM as PDF</t>
  </si>
  <si>
    <t>PDF downloads and opens without error.</t>
  </si>
  <si>
    <t>BOM PDF export works - see BM-08.</t>
  </si>
  <si>
    <t>EX-02</t>
  </si>
  <si>
    <t>Export inventory records as PDF</t>
  </si>
  <si>
    <t>Inventory/expense export does NOT work - see ZZ-03 / D-024.</t>
  </si>
  <si>
    <t>D-024.</t>
  </si>
  <si>
    <t>Compare PDF contents line by line against the on-screen data</t>
  </si>
  <si>
    <t>Every value matches; nothing truncated or omitted.</t>
  </si>
  <si>
    <t>Not verifiable in-session. The PDF is valid and correctly typed, but its rendered text could not be extracted through the browser to compare figures line by line.</t>
  </si>
  <si>
    <t>Recommend a human open BOM-000001's PDF and check Items subtotal 32,800 / Transportation 500 / BOM subtotal 33,300 and the three vendor names.</t>
  </si>
  <si>
    <t>EX-04</t>
  </si>
  <si>
    <t>Inspect PDF layout</t>
  </si>
  <si>
    <t>Headers, totals, currency and page breaks render correctly for physical submission to Accounts.</t>
  </si>
  <si>
    <t>PDF opens in the browser viewer with the correct document title. Full layout review not performed.</t>
  </si>
  <si>
    <t>See EX-03.</t>
  </si>
  <si>
    <t>EX-05</t>
  </si>
  <si>
    <t>Export a BOM with many line items (20+)</t>
  </si>
  <si>
    <t>Pagination correct; no rows lost across page breaks.</t>
  </si>
  <si>
    <t>EX-06</t>
  </si>
  <si>
    <t>Confirm no low-stock alerting is present or expected</t>
  </si>
  <si>
    <t>Matches doc §10 — absence is by design, not a defect.</t>
  </si>
  <si>
    <t>No low-stock alerting seen anywhere in the inventory module.</t>
  </si>
  <si>
    <t>Matches doc section 10 - absence is by design.</t>
  </si>
  <si>
    <t>AD-01</t>
  </si>
  <si>
    <t>Locate the expense-threshold setting in the admin UI</t>
  </si>
  <si>
    <t>Threshold is configurable without a code change.</t>
  </si>
  <si>
    <t>Admin &gt; Settings exposes 'Expense threshold' = 15000 with the page note 'Business rules that take effect immediately, without a redeploy.' Also configurable: 'Approvers at or above the threshold' (=2), sub-threshold approver, audit action set, audit retention, and Approver 1 / Approver 2 slots.</t>
  </si>
  <si>
    <t>Fully satisfies doc section 11. The number of approvers is a setting too, which the doc treats as fixed at 2.</t>
  </si>
  <si>
    <t>AD-02</t>
  </si>
  <si>
    <t>Change the threshold from 15,000 to 20,000, then submit an 18,000 request</t>
  </si>
  <si>
    <t>New request routes to 1 approver under the new threshold.</t>
  </si>
  <si>
    <t>Changed the threshold from 15,000 to 20,000 and submitted an 18,000 requisition (REQ-000010): APPROVERS REQUIRED 1, 'Threshold at submit: 20,000'. Took effect immediately with no redeploy. Threshold then restored to 15,000.</t>
  </si>
  <si>
    <t>AD-03</t>
  </si>
  <si>
    <t>Enter a negative, zero, or non-numeric threshold</t>
  </si>
  <si>
    <t>Rejected with a clear message.</t>
  </si>
  <si>
    <t>Entered -100 as the threshold. Blocked, value not saved.</t>
  </si>
  <si>
    <t>Correctly blocked, but with the same unusable 'Please correct the highlighted fields' toast and no field marked - third occurrence of D-025.</t>
  </si>
  <si>
    <t>AD-04</t>
  </si>
  <si>
    <t>Restore the threshold to 15,000 after testing</t>
  </si>
  <si>
    <t>Value restored. Record in the cleanup list.</t>
  </si>
  <si>
    <t>Threshold restored to 15,000 and confirmed saved ('Last changed by System Administrator').</t>
  </si>
  <si>
    <t>AD-05</t>
  </si>
  <si>
    <t>Check for an audit record of the threshold change</t>
  </si>
  <si>
    <t>Change is attributable to a user and timestamped.</t>
  </si>
  <si>
    <t>Settings changes ARE audited: settings.update on EXPENSE_THRESHOLD_BDT and SUBTHRESHOLD_APPROVER_USER_ID, with timestamp and source IP. Each setting also shows 'Last changed by System Administrator' inline.</t>
  </si>
  <si>
    <t>BUT the audit entry records only 'Updated setting EXPENSE_THRESHOLD_BDT' - no old or new value. For a financial control that is a real gap. See BB-02.</t>
  </si>
  <si>
    <t>AD-06</t>
  </si>
  <si>
    <t>Check whether trackable item categories can be extended (e.g. enable Furniture)</t>
  </si>
  <si>
    <t>Extendable per doc §11 open item; flag if hardcoded.</t>
  </si>
  <si>
    <t>Confirmed on the Categories screen - each category has a 'Track stock for this category' toggle, plus New category and Deactivate.</t>
  </si>
  <si>
    <t>Closes doc section 11's second open item.</t>
  </si>
  <si>
    <t>AD-07</t>
  </si>
  <si>
    <t>Check whether approver assignment is configurable</t>
  </si>
  <si>
    <t>Note how approvers are chosen. Doc §4 does not specify the assignment rule — flag as an unstated requirement.</t>
  </si>
  <si>
    <t>ANSWERED. Approver slots are configured in Settings: 'Approver 1 - Company default' and 'Approver 2 - Company default', restricted to users holding the Approver role, with the note 'A department setting overrides the company default.' A separate 'Sub-threshold approver' slot covers below-threshold requests.</t>
  </si>
  <si>
    <t>Resolves DG-08 completely. Department-level overrides exist but were not exercised.</t>
  </si>
  <si>
    <t>UX-01</t>
  </si>
  <si>
    <t>UI</t>
  </si>
  <si>
    <t>Usability</t>
  </si>
  <si>
    <t>Read the Dashboard body copy</t>
  </si>
  <si>
    <t>Copy says inventory, borrowing, requisitions and BOM 'arrive in later phases' although all are live. Stale text.</t>
  </si>
  <si>
    <t>Dashboard reads 'Foundation is in place. Inventory, borrowing, requisitions and BOM arrive in later phases.' All four are live.</t>
  </si>
  <si>
    <t>D-009.</t>
  </si>
  <si>
    <t>UX-02</t>
  </si>
  <si>
    <t>Compare sidebar label 'Products' with the page heading 'Inventory'</t>
  </si>
  <si>
    <t>Naming should be consistent across nav and page.</t>
  </si>
  <si>
    <t>Sidebar item is 'Products'; the page it opens is headed 'Inventory' and lives at /inventory.</t>
  </si>
  <si>
    <t>D-010.</t>
  </si>
  <si>
    <t>UX-03</t>
  </si>
  <si>
    <t>Reload each list page and observe the loading state</t>
  </si>
  <si>
    <t>Skeleton loaders present; no layout shift or clickable-but-dead controls during load.</t>
  </si>
  <si>
    <t>Skeleton loaders shown while lists load. Note: the New requisition button is clickable during load and the first click is swallowed.</t>
  </si>
  <si>
    <t>Minor - a click during the skeleton state does nothing and the user must click again.</t>
  </si>
  <si>
    <t>UX-04</t>
  </si>
  <si>
    <t>Trigger each validation error deliberately</t>
  </si>
  <si>
    <t>Messages are specific, adjacent to the field, and say how to fix it.</t>
  </si>
  <si>
    <t>Most messages are specific and helpful ('Add a short description when the transportation cost is non-zero', 'There is not enough stock in that compartment'). One leaks a raw validation string.</t>
  </si>
  <si>
    <t>D-005. See RF-N01.</t>
  </si>
  <si>
    <t>UX-05</t>
  </si>
  <si>
    <t>Compare currency rendering across list, detail, BOM and PDF</t>
  </si>
  <si>
    <t>Consistent thousands separators, decimals and BDT unit throughout.</t>
  </si>
  <si>
    <t>Form shows 15,100.00; list and detail show 15,100. Decimals are inconsistent between entry and display.</t>
  </si>
  <si>
    <t>Low impact but visible on documents going to Accounts.</t>
  </si>
  <si>
    <t>UX-06</t>
  </si>
  <si>
    <t>Compare date rendering (My requisitions shows 2026-08-13; Projects shows Aug 12, 2026)</t>
  </si>
  <si>
    <t>One date format used consistently.</t>
  </si>
  <si>
    <t>Three formats in use: 2026-08-13 (requisitions list), Aug 12, 2026 (Projects), 8/13/2026, 1:57:26 PM (History).</t>
  </si>
  <si>
    <t>D-011.</t>
  </si>
  <si>
    <t>UX-07</t>
  </si>
  <si>
    <t>Resize the browser to tablet and mobile widths</t>
  </si>
  <si>
    <t>Layout remains usable; tables do not overflow off-screen.</t>
  </si>
  <si>
    <t>UX-08</t>
  </si>
  <si>
    <t>Accessibility</t>
  </si>
  <si>
    <t>Tab through the New requisition form using only the keyboard</t>
  </si>
  <si>
    <t>Logical focus order, visible focus rings, all controls reachable.</t>
  </si>
  <si>
    <t>UX-09</t>
  </si>
  <si>
    <t>Technical</t>
  </si>
  <si>
    <t>Read the browser console across all screens</t>
  </si>
  <si>
    <t>No uncaught errors or failed network requests.</t>
  </si>
  <si>
    <t>No console errors or exceptions across dashboard, inventory, requisitions, projects and borrowings.</t>
  </si>
  <si>
    <t>Clean.</t>
  </si>
  <si>
    <t>UX-10</t>
  </si>
  <si>
    <t>Check the browser tab title on each page</t>
  </si>
  <si>
    <t>Every page currently reads 'Inventory Management System'. Per-page titles aid navigation and history.</t>
  </si>
  <si>
    <t>Every page reports the title 'Inventory Management System'.</t>
  </si>
  <si>
    <t>D-012. Hurts browser history and tab identification.</t>
  </si>
  <si>
    <t>UX-11</t>
  </si>
  <si>
    <t>Use browser Back/Forward across filters and detail pages</t>
  </si>
  <si>
    <t>State preserved; no broken views.</t>
  </si>
  <si>
    <t>UX-12</t>
  </si>
  <si>
    <t>Check empty states on each list screen</t>
  </si>
  <si>
    <t>Helpful empty states (My borrowings already does this well).</t>
  </si>
  <si>
    <t>My borrowings empty state reads 'You have not borrowed anything yet - Find a product in the inventory and press Borrow.'</t>
  </si>
  <si>
    <t>Well done.</t>
  </si>
  <si>
    <t>UX-13</t>
  </si>
  <si>
    <t>Submit a form twice rapidly (double-click Submit)</t>
  </si>
  <si>
    <t>No duplicate requisition created.</t>
  </si>
  <si>
    <t>UX-14</t>
  </si>
  <si>
    <t>Check the search box on My requisitions and Inventory</t>
  </si>
  <si>
    <t>Searches by the fields the placeholder promises.</t>
  </si>
  <si>
    <t>DG-01</t>
  </si>
  <si>
    <t>§3 vs §9</t>
  </si>
  <si>
    <t>-</t>
  </si>
  <si>
    <t>Review</t>
  </si>
  <si>
    <t>Request form captures Unit price (BDT) per line; doc §9 states unit cost is entered by the Inventory Manager at BOM stage</t>
  </si>
  <si>
    <t>Reconcile: which is the source of truth for cost?</t>
  </si>
  <si>
    <t>CONFIRMED. The request form captures Unit price (BDT) per line, and it must, because the approval threshold is evaluated at submit time.</t>
  </si>
  <si>
    <t>Doc section 9 is out of date on this point.</t>
  </si>
  <si>
    <t>DG-02</t>
  </si>
  <si>
    <t>'Transportation cost' exists on the form but is absent from the doc §3 field table</t>
  </si>
  <si>
    <t>Add to requirements, including whether it counts toward the approval threshold.</t>
  </si>
  <si>
    <t>CONFIRMED. Transportation cost with amount + description, rolling into Requested amount, with conditional validation requiring a description when non-zero.</t>
  </si>
  <si>
    <t>Well implemented; just undocumented.</t>
  </si>
  <si>
    <t>DG-03</t>
  </si>
  <si>
    <t>'Supporting document' attachment exists on the form but is absent from the doc</t>
  </si>
  <si>
    <t>Add to requirements, incl. permitted file types, size limit and who can view it.</t>
  </si>
  <si>
    <t>CONFIRMED. Supporting document attachment present on the form.</t>
  </si>
  <si>
    <t>Not yet exercised - see RF-13.</t>
  </si>
  <si>
    <t>DG-04</t>
  </si>
  <si>
    <t>A full borrowing module (Products → Borrow, My borrowings, Pending/Out/Returned/Overdue) exists; the doc only describes returns</t>
  </si>
  <si>
    <t>Document the borrowing lifecycle, due dates and overdue rules.</t>
  </si>
  <si>
    <t>CONFIRMED and much larger than the doc suggests: Borrow modal with source compartment, quantity, project, returnable flag, expected-back date and purpose; statuses Pending/Out/Returned/Overdue; reservation accounting; return-condition capture.</t>
  </si>
  <si>
    <t>Doc section 8 covers only a fraction of this.</t>
  </si>
  <si>
    <t>DG-05</t>
  </si>
  <si>
    <t>A Projects module with project creation exists; the doc only mentions project as a request field</t>
  </si>
  <si>
    <t>Document project creation, ownership and permissions.</t>
  </si>
  <si>
    <t>CONFIRMED. Projects module with project creation, including 'New project...' inline from the borrow modal.</t>
  </si>
  <si>
    <t>DG-06</t>
  </si>
  <si>
    <t>Urgency values (Low / Normal / High / Critical) are not enumerated in the doc</t>
  </si>
  <si>
    <t>Enumerate, and state whether urgency changes routing or is informational only.</t>
  </si>
  <si>
    <t>CONFIRMED. Urgency values are Low / Normal / High / Critical.</t>
  </si>
  <si>
    <t>Urgency appears informational - it did not change approver routing in any test.</t>
  </si>
  <si>
    <t>DG-07</t>
  </si>
  <si>
    <t>Inventory includes a 'Cables &amp; Consumables' category; doc §7 limits tracking to laptops and R&amp;D hardware</t>
  </si>
  <si>
    <t>Reconcile the tracked-category list.</t>
  </si>
  <si>
    <t>CONFIRMED and resolved. 'Cables &amp; Consumables' is a tracked category; Furniture is configured as 'Not tracked'. The category list is admin-configurable.</t>
  </si>
  <si>
    <t>Doc section 7's fixed list is superseded by configurable categories.</t>
  </si>
  <si>
    <t>DG-08</t>
  </si>
  <si>
    <t>The doc does not state how the 1 or 2 approvers are selected (by department? fixed list? requester's choice?)</t>
  </si>
  <si>
    <t>Specify the approver assignment rule.</t>
  </si>
  <si>
    <t>ANSWERED. Approvers are fixed named slots, not derived from department: Approver 1 = Ayesha Approver (Head of Operations), Approver 2 = Farhan Finance (CFO), plus a separate Inventory Manager (Imran Manager) who reviews FIRST, and a distinct 'Sub-threshold approver' slot.</t>
  </si>
  <si>
    <t>The doc does not mention the Inventory Manager review step preceding approval at all.</t>
  </si>
  <si>
    <t>DG-09</t>
  </si>
  <si>
    <t>The doc does not state whether the threshold compares against items total or requested amount incl. transport</t>
  </si>
  <si>
    <t>Specify which figure the threshold tests.</t>
  </si>
  <si>
    <t>ANSWERED - see AP-06. The threshold tests the transport-inclusive Requested amount.</t>
  </si>
  <si>
    <t>DG-10</t>
  </si>
  <si>
    <t>The doc refers to an 'approved amount' distinct from the requested amount, but no approval-time amount edit was seen</t>
  </si>
  <si>
    <t>Clarify whether approvers can approve a reduced amount.</t>
  </si>
  <si>
    <t>CONFIRMED. Approvers (not the Inventory Manager) get a 'Revise the sanctioned amount' checkbox with the helper text 'Leave blank to approve the full requested amount.'</t>
  </si>
  <si>
    <t>The doc's 'approved amount' concept is implemented as SANCTIONED.</t>
  </si>
  <si>
    <t>XX-01</t>
  </si>
  <si>
    <t>Sec 3/5</t>
  </si>
  <si>
    <t>Enter Approval deadline 2026-08-20, submit. Reopen the draft and read the stored value. Then set 2026-08-25, Save draft, and re-read.</t>
  </si>
  <si>
    <t>Stored date equals the entered date.</t>
  </si>
  <si>
    <t>Entered 2026-08-20 -&gt; stored 2026-08-19. Re-saved as 2026-08-25 -&gt; stored 2026-08-24. The date moves back one day on every write and the shift is cumulative across edits.</t>
  </si>
  <si>
    <t>D-014. Timezone/serialisation defect. Browser timezone is Asia/Dhaka (UTC+6).</t>
  </si>
  <si>
    <t>XX-02</t>
  </si>
  <si>
    <t>Sec 8</t>
  </si>
  <si>
    <t>In the Borrow modal set Expected back = 2026-08-27 and submit. Read the value on My borrowings.</t>
  </si>
  <si>
    <t>Entered 2026-08-27 -&gt; BR-000001 shows 2026-08-26. Same one-day-back shift as XX-01.</t>
  </si>
  <si>
    <t>D-014. Confirms the defect is systemic across modules, not local to requisitions.</t>
  </si>
  <si>
    <t>XX-03</t>
  </si>
  <si>
    <t>Sec 3</t>
  </si>
  <si>
    <t>Fill a valid request whose amount is below the expense threshold and press Submit for approval.</t>
  </si>
  <si>
    <t>Either the request submits, or it is rejected without side effects.</t>
  </si>
  <si>
    <t>Submission is rejected for the missing sub-threshold approver, but the system silently persists the request as a Draft (REQ-000002, REQ-000004) and consumes a reference number. The user is shown only the approver error and is not told a draft was kept.</t>
  </si>
  <si>
    <t>D-015. Keeping the work is reasonable; doing it silently is not.</t>
  </si>
  <si>
    <t>XX-04</t>
  </si>
  <si>
    <t>Open a saved draft that holds costed line items and read the REQUESTED and SANCTIONED figures.</t>
  </si>
  <si>
    <t>Requested reflects the sum of the line items plus transportation.</t>
  </si>
  <si>
    <t>REQ-000002 holds 7,500 + 2,000 items and 500 transport but displays REQUESTED 0 and SANCTIONED 0 on both the detail page and the list.</t>
  </si>
  <si>
    <t>D-016. The detail page contradicts its own line-item table.</t>
  </si>
  <si>
    <t>XX-05</t>
  </si>
  <si>
    <t>Enter Quantity -5 and Unit price -1000 on an item line and observe the totals while the validation errors are displayed.</t>
  </si>
  <si>
    <t>No total is computed from invalid input.</t>
  </si>
  <si>
    <t>Line total and Total both display 5,000.00 - the two negatives multiply to a positive. Submission is correctly blocked, but a plausible-looking figure is shown.</t>
  </si>
  <si>
    <t>D-017. Same pattern at the upper bound: 99,999,999,999 was totalled and displayed before being rejected.</t>
  </si>
  <si>
    <t>XX-06</t>
  </si>
  <si>
    <t>Compare the field label on the requisition form with the label on the requisition detail page.</t>
  </si>
  <si>
    <t>Consistent labelling.</t>
  </si>
  <si>
    <t>The form and the requirements call it 'Reason'; the detail page renders it as 'NOTE'.</t>
  </si>
  <si>
    <t>D-018.</t>
  </si>
  <si>
    <t>XX-07</t>
  </si>
  <si>
    <t>Save a draft, then return to My requisitions and observe row order.</t>
  </si>
  <si>
    <t>Order is predictable and indicated to the user.</t>
  </si>
  <si>
    <t>The list reorders by last-updated (REQ-000002 jumped above REQ-000005 after an edit). Column headers carry no sort indicator and are not clickable.</t>
  </si>
  <si>
    <t>D-019.</t>
  </si>
  <si>
    <t>XX-08</t>
  </si>
  <si>
    <t>Sec 2</t>
  </si>
  <si>
    <t>From the authenticated session, issue unauthenticated GETs to /api/v1/admin/settings, /admin/users, /admin/audit-log and /boms.</t>
  </si>
  <si>
    <t>API rejects requests without valid credentials.</t>
  </si>
  <si>
    <t>All returned 401 {'code':'UNAUTHENTICATED'}. The API is not anonymously readable. Note this does NOT prove per-role enforcement for an authenticated low-privilege user.</t>
  </si>
  <si>
    <t>D-013 tracks the remaining gap.</t>
  </si>
  <si>
    <t>YY-01</t>
  </si>
  <si>
    <t>Sec 10</t>
  </si>
  <si>
    <t>Open Expenses and reconcile the Requested and Approved totals against the actual state of each requisition.</t>
  </si>
  <si>
    <t>Approved reflects only requisitions that have actually been approved.</t>
  </si>
  <si>
    <t>Both columns read 97,800.00 across 5 requisitions. That total includes REQ-000006 (Rejected) at 20,000, REQ-000007 (still With the Inventory Manager) at 20,000, and three requisitions at Awaiting approval with no approver sign-off. 'Approved' simply mirrors the sanctioned amount of every non-draft requisition.</t>
  </si>
  <si>
    <t>D-020. The page states 'Figures always reconcile' and feeds a CSV/PDF export intended for Accounts.</t>
  </si>
  <si>
    <t>YY-02</t>
  </si>
  <si>
    <t>Sec 4</t>
  </si>
  <si>
    <t>Approve a requisition at the IM stage without changing the sanctioned amount, then read the caption under SANCTIONED.</t>
  </si>
  <si>
    <t>No revision message when Requested equals Sanctioned.</t>
  </si>
  <si>
    <t>REQ-000003 and REQ-000005 both show 'An approver revised this from the requested amount.' with Requested and Sanctioned identical (15,000 / 15,000 and 15,100 / 15,100). Nothing was revised.</t>
  </si>
  <si>
    <t>D-021. Misleading on a financial record; the caption should be conditional.</t>
  </si>
  <si>
    <t>YY-03</t>
  </si>
  <si>
    <t>After approving at the IM stage, check what actions remain available.</t>
  </si>
  <si>
    <t>A 'Withdraw approval' control is offered, letting the IM reverse their own decision after the fact.</t>
  </si>
  <si>
    <t>Not in the requirements. Confirm it is intended, and that it is blocked once a later stage has acted.</t>
  </si>
  <si>
    <t>YY-04</t>
  </si>
  <si>
    <t>Press Approve and inspect the dialog.</t>
  </si>
  <si>
    <t>The dialog offers 'Upload signature' (PNG/JPEG, stored and reused for every approval) with 'Approve with signature' and 'Approve without signature'.</t>
  </si>
  <si>
    <t>Undocumented feature. Worth specifying: who can see the signature, and does it appear on the exported BOM/PDF?</t>
  </si>
  <si>
    <t>YY-05</t>
  </si>
  <si>
    <t>Sec 6, 10</t>
  </si>
  <si>
    <t>Review the Expenses module.</t>
  </si>
  <si>
    <t>A full expense report exists with Group by Month/Department/Project, date-range presets, and Download CSV / Download PDF. Not mentioned anywhere in the requirements.</t>
  </si>
  <si>
    <t>DG-12. This is where doc section 10's reporting and section 6's fund tracking actually live.</t>
  </si>
  <si>
    <t>YY-06</t>
  </si>
  <si>
    <t>Sec 7</t>
  </si>
  <si>
    <t>Review the stock states on a product.</t>
  </si>
  <si>
    <t>Products carry Total owned, On hand, Available, In project use, Reserved and Quarantined, plus per-compartment breakdowns and a 'Manage' action for quarantined stock.</t>
  </si>
  <si>
    <t>DG-13. Far richer than doc section 7's 'Storage ID and a manually entered location'.</t>
  </si>
  <si>
    <t>YY-07</t>
  </si>
  <si>
    <t>Sec 3, 5</t>
  </si>
  <si>
    <t>Read REQ-000006's approval deadline on the Approvals list. It was entered as 2026-08-01.</t>
  </si>
  <si>
    <t>2026-08-01.</t>
  </si>
  <si>
    <t>Displays 2026-07-31 - one day earlier, and across a month boundary.</t>
  </si>
  <si>
    <t>D-014. Third independent reproduction of the date shift.</t>
  </si>
  <si>
    <t>ZZ-01</t>
  </si>
  <si>
    <t>Sec 4, 6</t>
  </si>
  <si>
    <t xml:space="preserve">1. Open REQ-000003 (Requested 15,000) as Approver 1.
2. Press Approve, tick 'Revise the sanctioned amount'.
3. Enter 99,000 - far ABOVE the requested amount.
4. Approve.</t>
  </si>
  <si>
    <t>Rejected. The UI states 'Defaults to the requested amount; approvers may revise down.'</t>
  </si>
  <si>
    <t>Accepted without any validation. SANCTIONED is now 99,000 against a REQUESTED of 15,000 - 6.6x the amount the requester asked for and the amount the approval routing was based on. 'Threshold at submit: 15,000' is unchanged, so the request carries only the scrutiny appropriate to a 15,000 spend.</t>
  </si>
  <si>
    <t>D-022. Financial control failure. The revision is audited ('AMOUNT REVISED - Ayesha Approver') but not bounded.</t>
  </si>
  <si>
    <t>ZZ-02</t>
  </si>
  <si>
    <t>After the revise-up in ZZ-01, reload the Expenses report.</t>
  </si>
  <si>
    <t>Approved never exceeds Requested.</t>
  </si>
  <si>
    <t>Approved jumped to 181,800.00 against Requested 97,800.00 - approved now exceeds requested by 84,000. The page's own claim is 'Figures always reconcile.'</t>
  </si>
  <si>
    <t>D-022 / D-020 compounding. This is the figure that would reach Accounts.</t>
  </si>
  <si>
    <t>ZZ-03</t>
  </si>
  <si>
    <t xml:space="preserve">1. Open Expenses.
2. Request /reports/expenses/export.csv?groupBy=month and /reports/expenses/export.pdf?groupBy=month (the exact hrefs behind the Download buttons).</t>
  </si>
  <si>
    <t>A CSV file and a PDF file.</t>
  </si>
  <si>
    <t>Both return HTTP 200 with Content-Type text/html and a 722-byte body - the SPA's index.html shell. Verified for export.csv, export.pdf, and with groupBy=department. The browser still saves files named export.csv / export.pdf, so the user gets an HTML page disguised as a report with no error shown.</t>
  </si>
  <si>
    <t>D-024. Doc section 10 is a stated requirement: PDF export for physical submission to Accounts. It is entirely non-functional and fails silently.</t>
  </si>
  <si>
    <t>ZZ-04</t>
  </si>
  <si>
    <t>Expand History on REQ-000003 after the IM approval and the revised approver approval.</t>
  </si>
  <si>
    <t>Full audit trail: CREATED, SUBMITTED, IM APPROVED, AMOUNT REVISED, APPROVER APPROVED - each with actor and timestamp.</t>
  </si>
  <si>
    <t>Audit logging is a strength; it recorded the revision in ZZ-01 correctly.</t>
  </si>
  <si>
    <t>ZZ-05</t>
  </si>
  <si>
    <t>Check the account page for the signature feature as an approver.</t>
  </si>
  <si>
    <t>Signature is per-user, PNG/JPEG up to 2MB, and the page states 'Approvals you have already signed keep the signature they were signed with, even if you replace it here.'</t>
  </si>
  <si>
    <t>Immutable historical signatures - correct design for an auditable document.</t>
  </si>
  <si>
    <t>AA-01</t>
  </si>
  <si>
    <t>Sec 6</t>
  </si>
  <si>
    <t xml:space="preserve">1. Open an approved requisition at Accounts stage.
2. Record money received with an amount above the approved figure (150,000 vs 99,000).
3. Repeat with a negative amount (-5,000).</t>
  </si>
  <si>
    <t>Blocked, with the offending field marked and the reason stated.</t>
  </si>
  <si>
    <t>Both are correctly blocked, but the only feedback is a toast: 'Please correct the highlighted fields.' Nothing is highlighted - zero elements carry aria-invalid, there is no inline message, and the Amount field has no max attribute. The user is not told which field is wrong or why.</t>
  </si>
  <si>
    <t>D-025. Notable because inline validation elsewhere in the app is excellent.</t>
  </si>
  <si>
    <t>AA-02</t>
  </si>
  <si>
    <t>Sec 9</t>
  </si>
  <si>
    <t xml:space="preserve">1. On New BOM, select requisitions and note BOM SUBTOTAL.
2. Change a line's Qty to 3 and Unit cost to 1,000 (line total 27,500 -&gt; 3,000).
3. Watch the header figures.</t>
  </si>
  <si>
    <t>BOM SUBTOTAL and VARIANCE recompute from the edited lines.</t>
  </si>
  <si>
    <t>The per-line total updates correctly, but the header BOM SUBTOTAL stays frozen at 57,300 and VARIANCE at -84,500 (-59.6%) no matter what is typed. Expected 32,800. The page states 'The numbers you type here become the BOM total and the PDF Accounts files.' The GENERATED BOM is correct (32,800), so this is a preview-only defect - but it is the figure the IM decides on before committing.</t>
  </si>
  <si>
    <t>D-026. Display-only: the saved document is right.</t>
  </si>
  <si>
    <t>AA-03</t>
  </si>
  <si>
    <t>On New BOM, set a line's Qty to exactly the maximum allowed (55, the requisitioned quantity). Also try 1 on a line whose max is 1.</t>
  </si>
  <si>
    <t>The maximum is accepted - buying exactly what was requested is the normal case.</t>
  </si>
  <si>
    <t>Entering the maximum silently CLEARS the field. 54 holds; incrementing to 55 empties it. On max=1 lines, typing 1 empties it. The most common case - purchasing the full requisitioned quantity - cannot be entered, and the line then falls back to the original figure with no warning.</t>
  </si>
  <si>
    <t>D-028. Off-by-one in the clamp logic (should be &lt;= max, appears to be &lt; max).</t>
  </si>
  <si>
    <t>AA-04</t>
  </si>
  <si>
    <t>Inspect the generated BOM-000001.</t>
  </si>
  <si>
    <t>Each source requisition carries an 'APPROVAL CHAIN (FROZEN AT GENERATION)' table with stage, slot, name, designation, acted-at and an 'ON BEHALF OF' column. Plus Void BOM, Re-render PDF, and a BOM history log.</t>
  </si>
  <si>
    <t>The ON BEHALF OF column means delegation IS modelled in the data even though no UI exposes it - relevant to D-023.</t>
  </si>
  <si>
    <t>AA-05</t>
  </si>
  <si>
    <t>After the ZZ-01 revise-up, follow REQ-000003 to the Accounts stage and read the funding baseline.</t>
  </si>
  <si>
    <t>Funding is bounded by what was legitimately approved.</t>
  </si>
  <si>
    <t>The Money panel shows Approved 99,000.00 and permits funding up to that figure - so the unbounded revise-up directly sets how much cash can be released. The BOM for the same requisition totals 15,000. Over-funding is blocked at 99,000, not at the requested or BOM figure.</t>
  </si>
  <si>
    <t>D-022. This is the consequence that makes the revise-up defect a cash-control issue rather than a display one.</t>
  </si>
  <si>
    <t>AA-06</t>
  </si>
  <si>
    <t>Compare date/time rendering on the BOM against the rest of the app.</t>
  </si>
  <si>
    <t>Consistent formatting.</t>
  </si>
  <si>
    <t>The BOM shows raw UTC ISO strings ('2026-08-13T08:31:50.595Z', 'Generated 2026-08-13T08:31:50.595Z'), a fourth format alongside 2026-08-13, Aug 12 2026 and 8/13/2026 1:57 PM. On a document going to Accounts this is the least readable option, and it is in UTC rather than the user's UTC+6.</t>
  </si>
  <si>
    <t>D-011 extended.</t>
  </si>
  <si>
    <t>AA-07</t>
  </si>
  <si>
    <t>Read the BOM history log.</t>
  </si>
  <si>
    <t>One entry per generation event.</t>
  </si>
  <si>
    <t>The same event is listed three times, identically: '2026-08-13T08:31:50.595Z · Imran Manager · BOM_GENERATED' x3 - apparently once per source requisition, with nothing to distinguish them.</t>
  </si>
  <si>
    <t>D-029.</t>
  </si>
  <si>
    <t>BB-01</t>
  </si>
  <si>
    <t>Review the Audit log at /admin/audit-log and check the ACTOR column against the actions recorded.</t>
  </si>
  <si>
    <t>Every state-changing action names the user who performed it - the page's stated purpose is 'Every state-changing action, who did it, and from where.'</t>
  </si>
  <si>
    <t>Most entries read 'Unknown actor'. Login events resolve correctly, but business actions do not. Worst case: every requisition.approve and requisition.reject entry shows 'Unknown actor' with NO email and NO IP - so the money-approval events, the most audit-critical of all, have no attributable actor. Some entries (e.g. stock.move, funds_received) at least carry the email beside 'Unknown actor'. The requisition detail pages do show the correct names, so the data exists.</t>
  </si>
  <si>
    <t>D-030. Undermines the audit log's core purpose.</t>
  </si>
  <si>
    <t>BB-02</t>
  </si>
  <si>
    <t>Sec 11</t>
  </si>
  <si>
    <t>Change the expense threshold, then inspect the corresponding audit entry.</t>
  </si>
  <si>
    <t>The entry records what the value changed from and to.</t>
  </si>
  <si>
    <t>The entry reads only 'Updated setting EXPENSE_THRESHOLD_BDT' with actor, timestamp and IP. Neither the previous nor the new value is recorded, so the audit trail cannot answer 'what was the threshold on the day this requisition was raised?' - although the per-requisition 'Threshold at submit' stamp mitigates this for routing.</t>
  </si>
  <si>
    <t>D-031.</t>
  </si>
  <si>
    <t>BB-03</t>
  </si>
  <si>
    <t>Read the third setting on the Admin Settings page.</t>
  </si>
  <si>
    <t>A human-readable label and help text, like every other setting on the page.</t>
  </si>
  <si>
    <t>It is labelled with the raw constant name 'BOM_OVER_BUDGET_TOLERANCE_PCT' (value 10) and has no help text explaining what it governs. Every neighbouring setting has a proper label and description.</t>
  </si>
  <si>
    <t>D-032.</t>
  </si>
  <si>
    <t>BB-04</t>
  </si>
  <si>
    <t>Review the audit configurability on Admin Settings.</t>
  </si>
  <si>
    <t>The audit log's recorded action set is configurable ('74 of 74 actions selected', with always-on entries that cannot be disabled) and retention is selectable from 5 days to Forever, purged by a nightly job.</t>
  </si>
  <si>
    <t>Not in the requirements at all, and a genuinely mature feature. DG-14.</t>
  </si>
  <si>
    <t>BB-05</t>
  </si>
  <si>
    <t>Review /admin/users.</t>
  </si>
  <si>
    <t>Five accounts with additive roles (everyone keeps General), designation described as 'Printed on the BOM approval block, so use the real job title', department assignment, deactivate, and password-reset actions. Email is read-only after creation.</t>
  </si>
  <si>
    <t>Sensible role model. Note the IM and both approvers also hold General, which is why they can raise their own requisitions.</t>
  </si>
  <si>
    <t>Defect ID</t>
  </si>
  <si>
    <t>Linked Test ID</t>
  </si>
  <si>
    <t>Title</t>
  </si>
  <si>
    <t>Steps to Reproduce</t>
  </si>
  <si>
    <t>Expected</t>
  </si>
  <si>
    <t>Actual</t>
  </si>
  <si>
    <t>Priority</t>
  </si>
  <si>
    <t>Screenshot / Evidence</t>
  </si>
  <si>
    <t>Fixed In (commit)</t>
  </si>
  <si>
    <t>D-014</t>
  </si>
  <si>
    <t>XX-01, XX-02</t>
  </si>
  <si>
    <t>Sec 3, 5, 8</t>
  </si>
  <si>
    <t>Every date field is stored one day earlier than entered, cumulatively</t>
  </si>
  <si>
    <t xml:space="preserve">1. New requisition, set Approval deadline = 2026-08-20, submit/save.
2. Reopen the draft: field reads 2026-08-19.
3. Set 2026-08-25, Save draft.
4. List now shows 2026-08-24.
5. Same in Borrow: Expected back 2026-08-27 saved as 2026-08-26.</t>
  </si>
  <si>
    <t>The stored date equals the entered date.</t>
  </si>
  <si>
    <t>Every date shifts back one day, and shifts again on each save. Reproduced in both requisitions and borrowings.</t>
  </si>
  <si>
    <t>P1</t>
  </si>
  <si>
    <t>REQ-000002, BR-000001</t>
  </si>
  <si>
    <t>Fixed</t>
  </si>
  <si>
    <t>532a4ba</t>
  </si>
  <si>
    <t>D-001</t>
  </si>
  <si>
    <t>AP-01, AP-05</t>
  </si>
  <si>
    <t>No below-threshold requisition can be submitted at all</t>
  </si>
  <si>
    <t xml:space="preserve">1. Create a requisition totalling under 15,000 BDT.
2. Press Submit for approval.</t>
  </si>
  <si>
    <t>Request routes to exactly 1 approver per doc section 4.</t>
  </si>
  <si>
    <t>Rejected: 'No approver is set for requests below the expense threshold.' ROOT CAUSE: the 'Sub-threshold approver' setting was 'Not assigned'. After assigning it, a 10,000 requisition submitted correctly with 1 approver (REQ-000009). This is a CONFIGURATION gap, not a code defect - but the system shipped in a state where no small purchase could be made, and the failure only surfaces after the user has filled in the whole form.</t>
  </si>
  <si>
    <t>P2</t>
  </si>
  <si>
    <t>REQ-000002, REQ-000004</t>
  </si>
  <si>
    <t>pre-existing</t>
  </si>
  <si>
    <t>D-007</t>
  </si>
  <si>
    <t>Requests at exactly the threshold get 2 approvers, but the doc says 'above'</t>
  </si>
  <si>
    <t>1. Submit a requisition for exactly 15,000.00 BDT.</t>
  </si>
  <si>
    <t>1 approver, since 15,000 is not above 15,000.</t>
  </si>
  <si>
    <t>RECLASSIFIED - not a code defect. Admin Settings states 'Requisitions AT OR ABOVE this amount need the higher number of approvers', so &gt;= is the intended product rule. The requirements doc's wording ('above the threshold') is what disagrees.</t>
  </si>
  <si>
    <t>P4</t>
  </si>
  <si>
    <t>REQ-000003</t>
  </si>
  <si>
    <t>Not a defect</t>
  </si>
  <si>
    <t/>
  </si>
  <si>
    <t>D-003</t>
  </si>
  <si>
    <t>A past approval deadline is accepted and the request is created already Overdue</t>
  </si>
  <si>
    <t xml:space="preserve">1. New requisition, set Approval deadline to a date in the past (2026-08-01).
2. Submit.</t>
  </si>
  <si>
    <t>Blocked - the field's own helper text says 'Pick today or later'.</t>
  </si>
  <si>
    <t>Submitted as REQ-000006 and immediately tagged 'Overdue'. The section 5 reminder flow can be triggered at the moment of submission.</t>
  </si>
  <si>
    <t>REQ-000006</t>
  </si>
  <si>
    <t>f9d8bc0</t>
  </si>
  <si>
    <t>D-002</t>
  </si>
  <si>
    <t>The item catalogue picker does not exist</t>
  </si>
  <si>
    <t xml:space="preserve">1. New requisition.
2. Type 'Lenovo' or 'Think' in the Item field (both match catalogue stock).</t>
  </si>
  <si>
    <t>Matching catalogue items are offered for selection.</t>
  </si>
  <si>
    <t>No suggestions. The DOM shows a plain text input with autocomplete='off', no datalist and no combobox role. Every requisition line is therefore free text with no link to inventory.</t>
  </si>
  <si>
    <t>a6c1355 + f9d8bc0</t>
  </si>
  <si>
    <t>D-016</t>
  </si>
  <si>
    <t>Draft requisitions report Requested and Sanctioned as 0 despite costed line items</t>
  </si>
  <si>
    <t>1. Open draft REQ-000002.</t>
  </si>
  <si>
    <t>Requested = 10,000 (7,500 + 2,000 items + 500 transport).</t>
  </si>
  <si>
    <t>REQUESTED 0 and SANCTIONED 0 shown on the detail page and in the list, directly above a line-item table totalling 10,000.</t>
  </si>
  <si>
    <t>67d8397</t>
  </si>
  <si>
    <t>D-015</t>
  </si>
  <si>
    <t>A rejected submission silently becomes a draft and consumes a reference number</t>
  </si>
  <si>
    <t xml:space="preserve">1. Submit a below-threshold requisition.
2. Observe only the approver error toast.
3. Open My requisitions.</t>
  </si>
  <si>
    <t>Either no record is created, or the user is told a draft was saved.</t>
  </si>
  <si>
    <t>A draft is created (REQ-000002, REQ-000004) and a reference number is consumed, with no indication to the user.</t>
  </si>
  <si>
    <t>P3</t>
  </si>
  <si>
    <t>D-004</t>
  </si>
  <si>
    <t>The draft edit form does not repopulate Department and Project</t>
  </si>
  <si>
    <t xml:space="preserve">1. Save a draft with Department = Engineering and Project = Test.
2. Press Edit.</t>
  </si>
  <si>
    <t>Both dropdowns show the saved values.</t>
  </si>
  <si>
    <t>Both show 'No department' / 'No project', while the record header still reads 'Gina General - Engineering - Test'. Values survive a save, so this is display-only - but it misleads the editor.</t>
  </si>
  <si>
    <t>REQ-000002</t>
  </si>
  <si>
    <t>2bb58d2</t>
  </si>
  <si>
    <t>D-006</t>
  </si>
  <si>
    <t>Department, Project, Reason and Approval deadline are all optional</t>
  </si>
  <si>
    <t xml:space="preserve">1. New requisition with only an item line, quantity and price.
2. Submit.</t>
  </si>
  <si>
    <t>Per doc section 3 these are request-level fields; the deadline drives section 5.</t>
  </si>
  <si>
    <t>REQ-000003 submitted with none of them. A requisition with no deadline can never trigger the section 5 reminder.</t>
  </si>
  <si>
    <t>8ab180d</t>
  </si>
  <si>
    <t>AC-08, XX-08</t>
  </si>
  <si>
    <t>Server-side per-role authorisation is unverified</t>
  </si>
  <si>
    <t xml:space="preserve">1. UI routes correctly return 'Not allowed'.
2. Unauthenticated API GETs correctly return 401.</t>
  </si>
  <si>
    <t>Restricted endpoints reject an authenticated user who lacks the role.</t>
  </si>
  <si>
    <t>Not established. UI-level blocking and anonymous rejection both work, but whether the API enforces roles for an authenticated low-privilege session was not tested - it needs an API client and explicit authorisation.</t>
  </si>
  <si>
    <t>Not reproduced</t>
  </si>
  <si>
    <t>749722a</t>
  </si>
  <si>
    <t>D-017</t>
  </si>
  <si>
    <t>Totals are computed and displayed from invalid input</t>
  </si>
  <si>
    <t>1. Enter Quantity -5 and Unit price -1000.</t>
  </si>
  <si>
    <t>No total shown while the line is invalid.</t>
  </si>
  <si>
    <t>Line total and Total display 5,000.00 (negative x negative). Likewise 99,999,999,999 is totalled and displayed before being rejected on submit.</t>
  </si>
  <si>
    <t>D-005</t>
  </si>
  <si>
    <t>RF-N01, UX-04</t>
  </si>
  <si>
    <t>A raw validation-library string is shown to the user</t>
  </si>
  <si>
    <t>1. Submit an empty requisition form.</t>
  </si>
  <si>
    <t>A human-readable message such as 'Required'.</t>
  </si>
  <si>
    <t>The Item field shows 'String must contain at least 1 character(s)' while the adjacent fields correctly show 'Required'.</t>
  </si>
  <si>
    <t>a44050f</t>
  </si>
  <si>
    <t>D-019</t>
  </si>
  <si>
    <t>Requisition list re-sorts by last-updated with no sort indicator</t>
  </si>
  <si>
    <t xml:space="preserve">1. Edit and save an older draft.
2. Return to My requisitions.</t>
  </si>
  <si>
    <t>Order is stable or the sort is indicated.</t>
  </si>
  <si>
    <t>The edited row jumps to the top. Headers show no sort state and are not clickable.</t>
  </si>
  <si>
    <t>d4a3864</t>
  </si>
  <si>
    <t>D-009</t>
  </si>
  <si>
    <t>Dashboard copy says live modules 'arrive in later phases'</t>
  </si>
  <si>
    <t>1. Open the Dashboard as any user.</t>
  </si>
  <si>
    <t>Copy reflects the current build.</t>
  </si>
  <si>
    <t>Reads 'Inventory, borrowing, requisitions and BOM arrive in later phases' although all four are live.</t>
  </si>
  <si>
    <t>6ab88f9</t>
  </si>
  <si>
    <t>D-011</t>
  </si>
  <si>
    <t>Three different date formats across the application</t>
  </si>
  <si>
    <t>1. Compare My requisitions, Projects and a requisition History panel.</t>
  </si>
  <si>
    <t>One consistent format.</t>
  </si>
  <si>
    <t>2026-08-13 / Aug 12, 2026 / 8/13/2026, 1:57:26 PM.</t>
  </si>
  <si>
    <t>7c740db</t>
  </si>
  <si>
    <t>D-010</t>
  </si>
  <si>
    <t>Sidebar 'Products' opens a page headed 'Inventory'</t>
  </si>
  <si>
    <t>1. Click Products in the sidebar.</t>
  </si>
  <si>
    <t>Nav label and page heading agree.</t>
  </si>
  <si>
    <t>Page is headed 'Inventory' at /inventory.</t>
  </si>
  <si>
    <t>D-012</t>
  </si>
  <si>
    <t>Every page shares the same browser title</t>
  </si>
  <si>
    <t>1. Visit any page and read the tab title.</t>
  </si>
  <si>
    <t>Page-specific titles.</t>
  </si>
  <si>
    <t>All pages report 'Inventory Management System'.</t>
  </si>
  <si>
    <t>541d632</t>
  </si>
  <si>
    <t>D-018</t>
  </si>
  <si>
    <t>'Reason' is labelled 'NOTE' on the requisition detail page</t>
  </si>
  <si>
    <t xml:space="preserve">1. Submit a requisition with a Reason.
2. Open its detail page.</t>
  </si>
  <si>
    <t>Labelled 'Reason', matching the form and the requirements.</t>
  </si>
  <si>
    <t>Rendered as 'NOTE'.</t>
  </si>
  <si>
    <t>D-020</t>
  </si>
  <si>
    <t>Expenses report counts rejected and unapproved requisitions as Approved</t>
  </si>
  <si>
    <t xml:space="preserve">1. As Inventory Manager open Expenses.
2. Compare the Approved total against All requisitions.</t>
  </si>
  <si>
    <t>Approved counts only requisitions that have actually been approved.</t>
  </si>
  <si>
    <t>Requested and Approved both read 97,800.00. That includes REQ-000006 (Rejected, 20,000) and REQ-000007 (still at IM review, 20,000); the remaining three have no approver sign-off. The page claims 'Figures always reconcile' and exports to CSV/PDF for Accounts.</t>
  </si>
  <si>
    <t>Expenses, August 2026</t>
  </si>
  <si>
    <t>5075895</t>
  </si>
  <si>
    <t>D-021</t>
  </si>
  <si>
    <t>'An approver revised this' is shown when no revision was made</t>
  </si>
  <si>
    <t xml:space="preserve">1. Approve a requisition at the IM stage without altering the amount.
2. Read the caption under SANCTIONED.</t>
  </si>
  <si>
    <t>REQ-000003 (15,000/15,000) and REQ-000005 (15,100/15,100) both display 'An approver revised this from the requested amount.'</t>
  </si>
  <si>
    <t>REQ-000003, REQ-000005</t>
  </si>
  <si>
    <t>D-022</t>
  </si>
  <si>
    <t>ZZ-01, ZZ-02</t>
  </si>
  <si>
    <t>An approver can sanction MORE than was requested, with no upper bound</t>
  </si>
  <si>
    <t xml:space="preserve">1. Open a requisition of 15,000 as Approver 1.
2. Approve, tick 'Revise the sanctioned amount', enter 99,000.
3. Approve.</t>
  </si>
  <si>
    <t>Rejected - the UI states approvers may revise DOWN.</t>
  </si>
  <si>
    <t>Accepted. Sanctioned 99,000 vs Requested 15,000. 'Threshold at submit' stays 15,000, so the request keeps the approval rigour of a 15,000 spend while sanctioning 6.6x that. Expenses then reported Approved 181,800 against Requested 97,800.</t>
  </si>
  <si>
    <t>59b28f4</t>
  </si>
  <si>
    <t>D-024</t>
  </si>
  <si>
    <t>PDF and CSV export are completely non-functional and fail silently</t>
  </si>
  <si>
    <t xml:space="preserve">1. Open Expenses as Inventory Manager.
2. Click Download CSV or Download PDF (hrefs /reports/expenses/export.csv and .pdf).</t>
  </si>
  <si>
    <t>A CSV or PDF report.</t>
  </si>
  <si>
    <t>Both return HTTP 200, Content-Type text/html, 722 bytes - the SPA index shell. The browser saves it under the .csv/.pdf name, so the user believes the export worked.</t>
  </si>
  <si>
    <t>Expenses</t>
  </si>
  <si>
    <t>93597b7 + 3323e7f</t>
  </si>
  <si>
    <t>D-023</t>
  </si>
  <si>
    <t>The approver delegate feature is not implemented</t>
  </si>
  <si>
    <t xml:space="preserve">1. Sign in as Ayesha Approver.
2. Open My account and review every available setting.</t>
  </si>
  <si>
    <t>A toggle to nominate a delegate to approve on her behalf while away (doc section 4).</t>
  </si>
  <si>
    <t>No delegate control exists. /account/profile offers only profile details, Signature and Change your password, and no delegate route exists in the app. A substitute approver appears to be admin-assigned in Settings instead - a different mechanism from the one specified.</t>
  </si>
  <si>
    <t>9f84f24</t>
  </si>
  <si>
    <t>D-028</t>
  </si>
  <si>
    <t>BOM quantity cannot be set to the full requisitioned amount</t>
  </si>
  <si>
    <t xml:space="preserve">1. New BOM, select a requisition whose line quantity is 55.
2. Type 55 in Qty (or increment 54 -&gt; 55).
3. Also try 1 on a line whose max is 1.</t>
  </si>
  <si>
    <t>The maximum is accepted.</t>
  </si>
  <si>
    <t>The field silently empties. 54 holds, 55 clears. Every max=1 line clears when 1 is typed. Buying exactly what was requested - the normal case - cannot be recorded.</t>
  </si>
  <si>
    <t>BOM-000001</t>
  </si>
  <si>
    <t>052f850</t>
  </si>
  <si>
    <t>D-025</t>
  </si>
  <si>
    <t>AA-01, FL-06, FL-07</t>
  </si>
  <si>
    <t>Funding validation gives no usable feedback</t>
  </si>
  <si>
    <t xml:space="preserve">1. Record money received with 150,000 against an approved 99,000.
2. Repeat with -5,000.</t>
  </si>
  <si>
    <t>Blocked, with the field marked and the reason stated.</t>
  </si>
  <si>
    <t>Correctly blocked, but the only feedback is a toast 'Please correct the highlighted fields' with zero highlighted fields, no aria-invalid, no inline message and no max attribute on the input.</t>
  </si>
  <si>
    <t>cc91359</t>
  </si>
  <si>
    <t>D-026</t>
  </si>
  <si>
    <t>BOM preview subtotal and variance never recompute</t>
  </si>
  <si>
    <t xml:space="preserve">1. New BOM, select requisitions.
2. Change a line's Qty and Unit cost.
3. Watch BOM SUBTOTAL / VARIANCE.</t>
  </si>
  <si>
    <t>Header figures follow the lines.</t>
  </si>
  <si>
    <t>They stay frozen at their initial values (57,300 / -84,500) while line totals update. Expected 32,800. The generated BOM is correct, so this is preview-only - but it is what the IM approves before committing.</t>
  </si>
  <si>
    <t>D-027</t>
  </si>
  <si>
    <t>Linked project is not carried onto the BOM</t>
  </si>
  <si>
    <t xml:space="preserve">1. Generate a BOM including REQ-000001, which has project 'Test'.
2. Inspect the BOM.</t>
  </si>
  <si>
    <t>Doc section 9's field table requires Linked project, auto-filled from the request.</t>
  </si>
  <si>
    <t>The BOM shows department only ('· Engineering'); the project is absent, and there is no project column on the line table. The New BOM candidate list does display 'Engineering · Test', so the data is available.</t>
  </si>
  <si>
    <t>61a2008</t>
  </si>
  <si>
    <t>D-029</t>
  </si>
  <si>
    <t>BOM history repeats the same event three times</t>
  </si>
  <si>
    <t>1. Open BOM-000001 and read History.</t>
  </si>
  <si>
    <t>One entry per generation.</t>
  </si>
  <si>
    <t>Three identical 'BOM_GENERATED' entries with the same timestamp and actor - apparently one per source requisition, with nothing to distinguish them.</t>
  </si>
  <si>
    <t>D-030</t>
  </si>
  <si>
    <t>Audit log shows 'Unknown actor' for nearly every action, including all approvals</t>
  </si>
  <si>
    <t xml:space="preserve">1. Sign in as Administrator.
2. Open /admin/audit-log and read the ACTOR column.</t>
  </si>
  <si>
    <t>Every state-changing action names its actor - the page promises 'who did it, and from where'.</t>
  </si>
  <si>
    <t>Most entries read 'Unknown actor'. Login events resolve names correctly; business actions do not. Every requisition.approve / requisition.reject entry shows 'Unknown actor' with no email and no IP. The requisition pages display the correct names, so the data exists but the audit log fails to resolve it.</t>
  </si>
  <si>
    <t>Audit log</t>
  </si>
  <si>
    <t>28b0ae8 + c62a6e0</t>
  </si>
  <si>
    <t>D-031</t>
  </si>
  <si>
    <t>Settings audit entries record no before/after values</t>
  </si>
  <si>
    <t xml:space="preserve">1. Change the expense threshold.
2. Read the settings.update entry in the audit log.</t>
  </si>
  <si>
    <t>The entry records the old and new value.</t>
  </si>
  <si>
    <t>It reads only 'Updated setting EXPENSE_THRESHOLD_BDT'. Neither value is captured, so the log cannot reconstruct what a financial control was set to at a past date.</t>
  </si>
  <si>
    <t>Partly not reproduced</t>
  </si>
  <si>
    <t>f3e7017</t>
  </si>
  <si>
    <t>D-032</t>
  </si>
  <si>
    <t>A raw config constant is exposed as a settings label</t>
  </si>
  <si>
    <t xml:space="preserve">1. Open Admin &gt; Settings.
2. Read the third setting.</t>
  </si>
  <si>
    <t>A human-readable label and help text.</t>
  </si>
  <si>
    <t>Labelled 'BOM_OVER_BUDGET_TOLERANCE_PCT' with no description, unlike every other setting on the page.</t>
  </si>
  <si>
    <t>Admin Settings</t>
  </si>
  <si>
    <t>9c562a1</t>
  </si>
  <si>
    <t>Test data created during this QA session</t>
  </si>
  <si>
    <t>All records created by QA are prefixed QA-TEST- so they can be identified and removed.</t>
  </si>
  <si>
    <t>#</t>
  </si>
  <si>
    <t>Record type</t>
  </si>
  <si>
    <t>Reference / ID</t>
  </si>
  <si>
    <t>Created as role</t>
  </si>
  <si>
    <t>Purpose</t>
  </si>
  <si>
    <t>Cleanup action required</t>
  </si>
  <si>
    <t>Requisition</t>
  </si>
  <si>
    <t>Blocked below-threshold submit, auto-saved as draft (10,000)</t>
  </si>
  <si>
    <t>Delete draft</t>
  </si>
  <si>
    <t>Threshold boundary test at exactly 15,000</t>
  </si>
  <si>
    <t>Cancel / delete - currently With the Inventory Manager</t>
  </si>
  <si>
    <t>REQ-000004</t>
  </si>
  <si>
    <t>Blocked below-threshold submit at 14,999, auto-saved as draft</t>
  </si>
  <si>
    <t>REQ-000005</t>
  </si>
  <si>
    <t>Transport threshold discriminator (14,800 + 300)</t>
  </si>
  <si>
    <t>Past-deadline test (20,000, deadline 2026-08-01, Overdue)</t>
  </si>
  <si>
    <t>REQ-000007</t>
  </si>
  <si>
    <t>Output-encoding test, item named &lt;b&gt;QA-TEST-Encoding&lt;/b&gt; (20,000)</t>
  </si>
  <si>
    <t>Borrowing</t>
  </si>
  <si>
    <t>BR-000001</t>
  </si>
  <si>
    <t>Borrow test, 2 x Lenovo ThinkPad T14 from Meta / 1A</t>
  </si>
  <si>
    <t>Cancel request, or approve then return, to release the 2 reserved units</t>
  </si>
  <si>
    <t>Requisition state</t>
  </si>
  <si>
    <t>IM-approved during testing; now Awaiting approval</t>
  </si>
  <si>
    <t>Cancel or leave; note it is QA data</t>
  </si>
  <si>
    <t>IM-rejected during testing (rejection-path test)</t>
  </si>
  <si>
    <t>No action - terminal state</t>
  </si>
  <si>
    <t>Stock movement</t>
  </si>
  <si>
    <t>LAP-0001</t>
  </si>
  <si>
    <t>Issued 2, returned 1 Damaged to Nvidia / 3C, moved 2 from Meta / 1A to Meta / 2A</t>
  </si>
  <si>
    <t>1 unit sits in QUARANTINE at Nvidia / 3C and needs releasing; 1 unit still out on BR-000001</t>
  </si>
  <si>
    <t>Borrow lifecycle test, now Partly returned</t>
  </si>
  <si>
    <t>Return the remaining 1 unit to close it out</t>
  </si>
  <si>
    <t>SANCTIONED manually set to 99,000 vs 15,000 requested (revise-up test)</t>
  </si>
  <si>
    <t>IMPORTANT: reset or cancel - this figure is inflating the Expenses report</t>
  </si>
  <si>
    <t>Requisition draft</t>
  </si>
  <si>
    <t>QA-TEST-SelfApproval</t>
  </si>
  <si>
    <t>Self-approval block test raised by Ayesha, saved as a draft on the blocked submit</t>
  </si>
  <si>
    <t>Downloads</t>
  </si>
  <si>
    <t>export.csv / export.pdf</t>
  </si>
  <si>
    <t>Export test - the files saved to the local Downloads folder contain HTML, not reports</t>
  </si>
  <si>
    <t>Delete from Downloads</t>
  </si>
  <si>
    <t>Batched REQ-000001 + REQ-000005 + REQ-000003; PDF rendered</t>
  </si>
  <si>
    <t>Void BOM (a Void action is provided)</t>
  </si>
  <si>
    <t>Advanced to Partly funded with two receipts (30,000 + 20,000 = 50,000) against an inflated 99,000 approval</t>
  </si>
  <si>
    <t>Reverse the receipts and reset the sanctioned amount, or void the whole requisition</t>
  </si>
  <si>
    <t>REQ-000001, REQ-000005</t>
  </si>
  <si>
    <t>Approvers</t>
  </si>
  <si>
    <t>Fully approved and included in BOM-000001</t>
  </si>
  <si>
    <t>Cancel or leave as QA data</t>
  </si>
  <si>
    <t>CONFIG CHANGE</t>
  </si>
  <si>
    <t>Sub-threshold approver</t>
  </si>
  <si>
    <t>Set from 'Not assigned' to Ayesha Approver to unblock below-threshold requisitions</t>
  </si>
  <si>
    <t>LEAVE AS IS - this is the fix for D-001. Reassign if Ayesha is not the right person.</t>
  </si>
  <si>
    <t>Expense threshold</t>
  </si>
  <si>
    <t>Temporarily set to -100 (rejected), then 20,000, then restored</t>
  </si>
  <si>
    <t>Already restored to 15,000 - verify</t>
  </si>
  <si>
    <t>REQ-000008</t>
  </si>
  <si>
    <t>Ayesha's self-approval-block test draft</t>
  </si>
  <si>
    <t>REQ-000009</t>
  </si>
  <si>
    <t>Below-threshold test, 10,000, 1 approver</t>
  </si>
  <si>
    <t>Cancel</t>
  </si>
  <si>
    <t>REQ-000010</t>
  </si>
  <si>
    <t>New-threshold test, 18,000, stamped at 20,000</t>
  </si>
  <si>
    <t>REQ-000013</t>
  </si>
  <si>
    <t>QA-TEST-D014-DATESHIFT — date-shift reproduction, 20 Aug 2026. Deadline entered 2026-08-27, stored 2026-08-26, re-saved without editing the field, now 2026-08-25. One item at 1.00.</t>
  </si>
  <si>
    <t>Delete draft. Created by the dev team to reproduce D-014, not by the QA session.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</si>
</sst>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9" x14ac:knownFonts="1">
    <font>
      <color theme="1"/>
      <family val="2"/>
      <scheme val="minor"/>
      <sz val="11"/>
      <name val="Calibri"/>
    </font>
    <font>
      <b/>
      <charset val="1"/>
      <sz val="15"/>
      <name val="Arial"/>
    </font>
    <font>
      <b/>
      <charset val="1"/>
      <sz val="10"/>
      <name val="Arial"/>
    </font>
    <font>
      <charset val="1"/>
      <sz val="10"/>
      <name val="Arial"/>
    </font>
    <font>
      <charset val="1"/>
      <color theme="1"/>
      <family val="2"/>
      <sz val="11"/>
      <name val="Calibri"/>
    </font>
    <font>
      <b/>
      <charset val="1"/>
      <sz val="14"/>
      <name val="Arial"/>
    </font>
    <font>
      <i/>
      <charset val="1"/>
      <sz val="10"/>
      <name val="Arial"/>
    </font>
    <font>
      <b/>
      <charset val="1"/>
      <color rgb="FFFFFFFF"/>
      <sz val="10"/>
      <name val="Arial"/>
    </font>
    <font>
      <b/>
      <charset val="1"/>
      <sz val="12"/>
      <name val="Arial"/>
    </font>
  </fonts>
  <fills count="12">
    <fill>
      <patternFill patternType="none"/>
    </fill>
    <fill>
      <patternFill patternType="gray125"/>
    </fill>
    <fill>
      <patternFill patternType="solid">
        <fgColor rgb="FFD9E2F3"/>
        <bgColor rgb="FFE8F0FE"/>
      </patternFill>
    </fill>
    <fill>
      <patternFill patternType="solid">
        <fgColor rgb="FF1F3864"/>
        <bgColor rgb="FF333333"/>
      </patternFill>
    </fill>
    <fill>
      <patternFill patternType="solid">
        <fgColor rgb="FFE8F5E9"/>
        <bgColor rgb="FFEFEFEF"/>
      </patternFill>
    </fill>
    <fill>
      <patternFill patternType="solid">
        <fgColor rgb="FFFFF4E0"/>
        <bgColor rgb="FFFFF2CC"/>
      </patternFill>
    </fill>
    <fill>
      <patternFill patternType="solid">
        <fgColor rgb="FFFCE4E4"/>
        <bgColor rgb="FFEFEFEF"/>
      </patternFill>
    </fill>
    <fill>
      <patternFill patternType="solid">
        <fgColor rgb="FFF8CBCB"/>
        <bgColor rgb="FFFBDDC3"/>
      </patternFill>
    </fill>
    <fill>
      <patternFill patternType="solid">
        <fgColor rgb="FFFFF2CC"/>
        <bgColor rgb="FFFFF4E0"/>
      </patternFill>
    </fill>
    <fill>
      <patternFill patternType="solid">
        <fgColor rgb="FFE8F0FE"/>
        <bgColor rgb="FFEFEFEF"/>
      </patternFill>
    </fill>
    <fill>
      <patternFill patternType="solid">
        <fgColor rgb="FFEFEFEF"/>
        <bgColor rgb="FFE8F5E9"/>
      </patternFill>
    </fill>
    <fill>
      <patternFill patternType="solid">
        <fgColor rgb="FFFBDDC3"/>
        <bgColor rgb="FFFCE4E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6">
    <xf numFmtId="0" fontId="0" fillId="0" borderId="0" xfId="0"/>
    <xf numFmtId="0" fontId="1" fillId="0" borderId="0" xfId="0" applyFont="1" applyAlignment="1">
      <alignment vertical="bottom"/>
    </xf>
    <xf numFmtId="0" fontId="2" fillId="0" borderId="0" xfId="0" applyFont="1" applyAlignment="1">
      <alignment vertical="bottom"/>
    </xf>
    <xf numFmtId="0" fontId="3" fillId="0" borderId="0" xfId="0" applyFont="1" applyAlignment="1">
      <alignment vertical="top" wrapText="1"/>
    </xf>
    <xf numFmtId="0" fontId="2" fillId="2" borderId="0" xfId="0" applyFont="1" applyFill="1" applyAlignment="1">
      <alignment vertical="bottom"/>
    </xf>
    <xf numFmtId="0" fontId="4" fillId="0" borderId="0" xfId="0" applyFont="1" applyAlignment="1">
      <alignment vertical="bottom"/>
    </xf>
    <xf numFmtId="0" fontId="5" fillId="0" borderId="0" xfId="0" applyFont="1" applyAlignment="1">
      <alignment vertical="bottom"/>
    </xf>
    <xf numFmtId="0" fontId="6" fillId="0" borderId="0" xfId="0" applyFont="1" applyAlignment="1">
      <alignment vertical="bottom"/>
    </xf>
    <xf numFmtId="0" fontId="3" fillId="0" borderId="0" xfId="0" applyFont="1" applyAlignment="1">
      <alignment vertical="bottom"/>
    </xf>
    <xf numFmtId="164" fontId="3" fillId="0" borderId="0" xfId="0" applyNumberFormat="1" applyFont="1" applyAlignment="1">
      <alignment vertical="bottom"/>
    </xf>
    <xf numFmtId="0" fontId="7" fillId="3" borderId="1" xfId="0" applyFont="1" applyFill="1" applyBorder="1" applyAlignment="1">
      <alignment vertical="bottom"/>
    </xf>
    <xf numFmtId="0" fontId="3" fillId="0" borderId="1" xfId="0" applyFont="1" applyBorder="1" applyAlignment="1">
      <alignment vertical="bottom"/>
    </xf>
    <xf numFmtId="0" fontId="7" fillId="3" borderId="1" xfId="0" applyFont="1" applyFill="1" applyBorder="1" applyAlignment="1">
      <alignment horizontal="center" vertical="center" wrapText="1"/>
    </xf>
    <xf numFmtId="0" fontId="3" fillId="0" borderId="1" xfId="0" applyFont="1" applyBorder="1" applyAlignment="1">
      <alignment vertical="top"/>
    </xf>
    <xf numFmtId="0" fontId="3" fillId="0" borderId="1" xfId="0" applyFont="1" applyBorder="1" applyAlignment="1">
      <alignment vertical="top" wrapText="1"/>
    </xf>
    <xf numFmtId="0" fontId="3" fillId="4" borderId="1" xfId="0" applyFont="1" applyFill="1" applyBorder="1" applyAlignment="1">
      <alignment vertical="top"/>
    </xf>
    <xf numFmtId="0" fontId="3" fillId="5" borderId="1" xfId="0" applyFont="1" applyFill="1" applyBorder="1" applyAlignment="1">
      <alignment vertical="top"/>
    </xf>
    <xf numFmtId="0" fontId="3" fillId="6" borderId="1" xfId="0" applyFont="1" applyFill="1" applyBorder="1" applyAlignment="1">
      <alignment vertical="top"/>
    </xf>
    <xf numFmtId="0" fontId="7" fillId="3" borderId="1" xfId="0" applyFont="1" applyFill="1" applyBorder="1"/>
    <xf numFmtId="0" fontId="3" fillId="7" borderId="1" xfId="0" applyFont="1" applyFill="1" applyBorder="1" applyAlignment="1">
      <alignment vertical="top" wrapText="1"/>
    </xf>
    <xf numFmtId="0" fontId="0" fillId="0" borderId="1" xfId="0" applyBorder="1" applyAlignment="1">
      <alignment vertical="top" wrapText="1"/>
    </xf>
    <xf numFmtId="0" fontId="3" fillId="8" borderId="1" xfId="0" applyFont="1" applyFill="1" applyBorder="1" applyAlignment="1">
      <alignment vertical="top" wrapText="1"/>
    </xf>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8" fillId="0" borderId="0" xfId="0" applyFont="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Views>
    <sheetView workbookViewId="0" zoomScale="100" zoomScaleNormal="100" view="normal">
      <selection activeCell="A1" sqref="A1"/>
    </sheetView>
  </sheetViews>
  <sheetFormatPr defaultRowHeight="15" outlineLevelRow="0" outlineLevelCol="0" x14ac:dyDescent="0" defaultColWidth="8.6796875"/>
  <cols>
    <col min="1" max="1" width="26" customWidth="1"/>
    <col min="2" max="2" width="120" customWidth="1"/>
  </cols>
  <sheetData>
    <row r="1" ht="18.55" customHeight="1" spans="1:1" x14ac:dyDescent="0.25">
      <c r="A1" s="1" t="s">
        <v>0</v>
      </c>
    </row>
    <row r="2" ht="15" customHeight="1" spans="1:2" x14ac:dyDescent="0.25">
      <c r="A2" s="2"/>
      <c r="B2" s="3"/>
    </row>
    <row r="3" ht="15" customHeight="1" spans="1:2" x14ac:dyDescent="0.25">
      <c r="A3" s="2" t="s">
        <v>1</v>
      </c>
      <c r="B3" s="3" t="s">
        <v>2</v>
      </c>
    </row>
    <row r="4" ht="15" customHeight="1" spans="1:2" x14ac:dyDescent="0.25">
      <c r="A4" s="2" t="s">
        <v>3</v>
      </c>
      <c r="B4" s="3" t="s">
        <v>4</v>
      </c>
    </row>
    <row r="5" ht="15" customHeight="1" spans="1:2" x14ac:dyDescent="0.25">
      <c r="A5" s="2" t="s">
        <v>5</v>
      </c>
      <c r="B5" s="3" t="s">
        <v>6</v>
      </c>
    </row>
    <row r="6" ht="15" customHeight="1" spans="1:2" x14ac:dyDescent="0.25">
      <c r="A6" s="2" t="s">
        <v>7</v>
      </c>
      <c r="B6" s="3" t="s">
        <v>8</v>
      </c>
    </row>
    <row r="7" ht="15" customHeight="1" spans="1:2" x14ac:dyDescent="0.25">
      <c r="A7" s="2"/>
      <c r="B7" s="3"/>
    </row>
    <row r="8" ht="15" customHeight="1" spans="1:1" x14ac:dyDescent="0.25">
      <c r="A8" s="4" t="s">
        <v>9</v>
      </c>
    </row>
    <row r="9" ht="15" customHeight="1" spans="1:2" x14ac:dyDescent="0.25">
      <c r="A9" s="2"/>
      <c r="B9" s="3" t="s">
        <v>10</v>
      </c>
    </row>
    <row r="10" ht="15" customHeight="1" spans="1:2" x14ac:dyDescent="0.25">
      <c r="A10" s="2"/>
      <c r="B10" s="3" t="s">
        <v>11</v>
      </c>
    </row>
    <row r="11" ht="15" customHeight="1" spans="1:2" x14ac:dyDescent="0.25">
      <c r="A11" s="2"/>
      <c r="B11" s="3" t="s">
        <v>12</v>
      </c>
    </row>
    <row r="12" ht="15" customHeight="1" spans="1:2" x14ac:dyDescent="0.25">
      <c r="A12" s="2"/>
      <c r="B12" s="3" t="s">
        <v>13</v>
      </c>
    </row>
    <row r="13" ht="15" customHeight="1" spans="1:2" x14ac:dyDescent="0.25">
      <c r="A13" s="2"/>
      <c r="B13" s="3"/>
    </row>
    <row r="14" ht="15" customHeight="1" spans="1:1" x14ac:dyDescent="0.25">
      <c r="A14" s="4" t="s">
        <v>14</v>
      </c>
    </row>
    <row r="15" ht="23.85" customHeight="1" spans="1:2" x14ac:dyDescent="0.25">
      <c r="A15" s="2" t="s">
        <v>15</v>
      </c>
      <c r="B15" s="3" t="s">
        <v>16</v>
      </c>
    </row>
    <row r="16" ht="23.85" customHeight="1" spans="1:2" x14ac:dyDescent="0.25">
      <c r="A16" s="2" t="s">
        <v>17</v>
      </c>
      <c r="B16" s="3" t="s">
        <v>18</v>
      </c>
    </row>
    <row r="17" ht="23.85" customHeight="1" spans="1:2" x14ac:dyDescent="0.25">
      <c r="A17" s="2" t="s">
        <v>19</v>
      </c>
      <c r="B17" s="3" t="s">
        <v>20</v>
      </c>
    </row>
    <row r="18" ht="15" customHeight="1" spans="1:2" x14ac:dyDescent="0.25">
      <c r="A18" s="2" t="s">
        <v>21</v>
      </c>
      <c r="B18" s="3" t="s">
        <v>22</v>
      </c>
    </row>
    <row r="19" ht="15" customHeight="1" spans="1:2" x14ac:dyDescent="0.25">
      <c r="A19" s="2" t="s">
        <v>23</v>
      </c>
      <c r="B19" s="3" t="s">
        <v>24</v>
      </c>
    </row>
    <row r="20" ht="15" customHeight="1" spans="1:2" x14ac:dyDescent="0.25">
      <c r="A20" s="2" t="s">
        <v>25</v>
      </c>
      <c r="B20" s="3" t="s">
        <v>26</v>
      </c>
    </row>
    <row r="21" ht="15" customHeight="1" spans="1:2" x14ac:dyDescent="0.25">
      <c r="A21" s="2" t="s">
        <v>27</v>
      </c>
      <c r="B21" s="3" t="s">
        <v>28</v>
      </c>
    </row>
    <row r="22" ht="15" customHeight="1" spans="1:2" x14ac:dyDescent="0.25">
      <c r="A22" s="2"/>
      <c r="B22" s="3"/>
    </row>
    <row r="23" ht="15" customHeight="1" spans="1:1" x14ac:dyDescent="0.25">
      <c r="A23" s="4" t="s">
        <v>29</v>
      </c>
    </row>
    <row r="24" ht="23.85" customHeight="1" spans="1:2" x14ac:dyDescent="0.25">
      <c r="A24" s="2" t="s">
        <v>30</v>
      </c>
      <c r="B24" s="3" t="s">
        <v>31</v>
      </c>
    </row>
    <row r="25" ht="15" customHeight="1" spans="1:2" x14ac:dyDescent="0.25">
      <c r="A25" s="2" t="s">
        <v>32</v>
      </c>
      <c r="B25" s="3" t="s">
        <v>33</v>
      </c>
    </row>
    <row r="26" ht="35.05" customHeight="1" spans="1:2" x14ac:dyDescent="0.25">
      <c r="A26" s="2" t="s">
        <v>34</v>
      </c>
      <c r="B26" s="3" t="s">
        <v>35</v>
      </c>
    </row>
    <row r="27" ht="15" customHeight="1" spans="1:2" x14ac:dyDescent="0.25">
      <c r="A27" s="2"/>
      <c r="B27" s="3"/>
    </row>
    <row r="28" ht="15" customHeight="1" spans="1:1" x14ac:dyDescent="0.25">
      <c r="A28" s="4" t="s">
        <v>36</v>
      </c>
    </row>
    <row r="29" ht="15" customHeight="1" spans="1:2" x14ac:dyDescent="0.25">
      <c r="A29" s="2"/>
      <c r="B29" s="3" t="s">
        <v>37</v>
      </c>
    </row>
    <row r="30" ht="15" customHeight="1" spans="1:2" x14ac:dyDescent="0.25">
      <c r="A30" s="2"/>
      <c r="B30" s="3" t="s">
        <v>38</v>
      </c>
    </row>
    <row r="31" ht="15" customHeight="1" spans="1:2" x14ac:dyDescent="0.25">
      <c r="A31" s="2"/>
      <c r="B31" s="3" t="s">
        <v>39</v>
      </c>
    </row>
    <row r="32" ht="15" customHeight="1" spans="1:2" x14ac:dyDescent="0.25">
      <c r="A32" s="2"/>
      <c r="B32" s="3" t="s">
        <v>40</v>
      </c>
    </row>
    <row r="33" ht="15" customHeight="1" spans="1:2" x14ac:dyDescent="0.25">
      <c r="A33" s="2"/>
      <c r="B33" s="3" t="s">
        <v>41</v>
      </c>
    </row>
    <row r="34" ht="15" customHeight="1" spans="1:2" x14ac:dyDescent="0.25">
      <c r="A34" s="2"/>
      <c r="B34" s="3" t="s">
        <v>42</v>
      </c>
    </row>
    <row r="35" ht="15" customHeight="1" spans="1:2" x14ac:dyDescent="0.25">
      <c r="A35" s="2"/>
      <c r="B35" s="3" t="s">
        <v>43</v>
      </c>
    </row>
    <row r="36" ht="15" customHeight="1" spans="1:2" x14ac:dyDescent="0.25">
      <c r="A36" s="2"/>
      <c r="B36" s="3"/>
    </row>
    <row r="37" ht="15" customHeight="1" spans="1:1" x14ac:dyDescent="0.25">
      <c r="A37" s="4" t="s">
        <v>44</v>
      </c>
    </row>
    <row r="38" ht="15" customHeight="1" spans="1:2" x14ac:dyDescent="0.25">
      <c r="A38" s="2" t="s">
        <v>45</v>
      </c>
      <c r="B38" s="3" t="s">
        <v>46</v>
      </c>
    </row>
    <row r="39" ht="15" customHeight="1" spans="1:2" x14ac:dyDescent="0.25">
      <c r="A39" s="2" t="s">
        <v>47</v>
      </c>
      <c r="B39" s="3" t="s">
        <v>48</v>
      </c>
    </row>
    <row r="40" ht="23.85" customHeight="1" spans="1:2" x14ac:dyDescent="0.25">
      <c r="A40" s="2" t="s">
        <v>49</v>
      </c>
      <c r="B40" s="3" t="s">
        <v>50</v>
      </c>
    </row>
    <row r="41" ht="15" customHeight="1" spans="1:2" x14ac:dyDescent="0.25">
      <c r="A41" s="2" t="s">
        <v>51</v>
      </c>
      <c r="B41" s="3" t="s">
        <v>52</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7"/>
  <sheetViews>
    <sheetView workbookViewId="0" zoomScale="100" zoomScaleNormal="100" view="normal">
      <selection activeCell="A1" sqref="A1"/>
    </sheetView>
  </sheetViews>
  <sheetFormatPr defaultRowHeight="15" outlineLevelRow="0" outlineLevelCol="0" x14ac:dyDescent="0" defaultColWidth="8.6796875"/>
  <cols>
    <col min="1" max="1" width="26" style="5" customWidth="1"/>
    <col min="2" max="5" width="12" style="5" customWidth="1"/>
  </cols>
  <sheetData>
    <row r="1" ht="17.25" customHeight="1" spans="1:1" x14ac:dyDescent="0.25">
      <c r="A1" s="6" t="s">
        <v>53</v>
      </c>
    </row>
    <row r="2" ht="15" customHeight="1" spans="1:1" x14ac:dyDescent="0.25">
      <c r="A2" s="7" t="s">
        <v>54</v>
      </c>
    </row>
    <row r="3" ht="15" customHeight="1" spans="1:1" x14ac:dyDescent="0.25">
      <c r="A3" s="7" t="s">
        <v>55</v>
      </c>
    </row>
    <row r="5" ht="15" customHeight="1" spans="1:1" x14ac:dyDescent="0.25">
      <c r="A5" s="4" t="s">
        <v>56</v>
      </c>
    </row>
    <row r="6" ht="15" customHeight="1" spans="1:2" x14ac:dyDescent="0.25">
      <c r="A6" s="8" t="s">
        <v>57</v>
      </c>
      <c r="B6" s="8">
        <f>COUNTA('Test Cases'!A2:A187)</f>
        <v>186</v>
      </c>
    </row>
    <row r="7" ht="15" customHeight="1" spans="1:2" x14ac:dyDescent="0.25">
      <c r="A7" s="8" t="s">
        <v>58</v>
      </c>
      <c r="B7" s="8">
        <f>COUNTIF('Test Cases'!I2:I187,"Pass")</f>
        <v>90</v>
      </c>
    </row>
    <row r="8" ht="15" customHeight="1" spans="1:2" x14ac:dyDescent="0.25">
      <c r="A8" s="8" t="s">
        <v>59</v>
      </c>
      <c r="B8" s="8">
        <f>COUNTIF('Test Cases'!I2:I187,"Fail")</f>
        <v>32</v>
      </c>
    </row>
    <row r="9" ht="15" customHeight="1" spans="1:2" x14ac:dyDescent="0.25">
      <c r="A9" s="8" t="s">
        <v>60</v>
      </c>
      <c r="B9" s="8">
        <f>COUNTIF('Test Cases'!I2:I187,"Blocked")</f>
        <v>5</v>
      </c>
    </row>
    <row r="10" ht="15" customHeight="1" spans="1:2" x14ac:dyDescent="0.25">
      <c r="A10" s="8" t="s">
        <v>61</v>
      </c>
      <c r="B10" s="8">
        <f>COUNTIF('Test Cases'!I2:I187,"N/A")</f>
        <v>0</v>
      </c>
    </row>
    <row r="11" ht="15" customHeight="1" spans="1:2" x14ac:dyDescent="0.25">
      <c r="A11" s="8" t="s">
        <v>62</v>
      </c>
      <c r="B11" s="8">
        <f>COUNTIF('Test Cases'!I2:I187,"Observation")</f>
        <v>26</v>
      </c>
    </row>
    <row r="12" ht="15" customHeight="1" spans="1:2" x14ac:dyDescent="0.25">
      <c r="A12" s="8" t="s">
        <v>63</v>
      </c>
      <c r="B12" s="8">
        <f>COUNTIF('Test Cases'!I2:I187,"Not run")</f>
        <v>33</v>
      </c>
    </row>
    <row r="13" ht="15" customHeight="1" spans="1:2" x14ac:dyDescent="0.25">
      <c r="A13" s="8" t="s">
        <v>64</v>
      </c>
      <c r="B13" s="8">
        <f>B7+B8+B9+B11</f>
        <v>153</v>
      </c>
    </row>
    <row r="14" ht="15" customHeight="1" spans="1:2" x14ac:dyDescent="0.25">
      <c r="A14" s="8" t="s">
        <v>65</v>
      </c>
      <c r="B14" s="9">
        <f>IFERROR(B7/B13,0)</f>
        <v>0.588235294117647</v>
      </c>
    </row>
    <row r="16" ht="15" customHeight="1" spans="1:1" x14ac:dyDescent="0.25">
      <c r="A16" s="4" t="s">
        <v>66</v>
      </c>
    </row>
    <row r="17" ht="15" customHeight="1" spans="1:2" x14ac:dyDescent="0.25">
      <c r="A17" s="8" t="s">
        <v>67</v>
      </c>
      <c r="B17" s="8">
        <f>COUNTIFS('Test Cases'!J2:J187,"Critical",'Test Cases'!I2:I187,"Fail")</f>
        <v>6</v>
      </c>
    </row>
    <row r="18" ht="15" customHeight="1" spans="1:2" x14ac:dyDescent="0.25">
      <c r="A18" s="8" t="s">
        <v>68</v>
      </c>
      <c r="B18" s="8">
        <f>COUNTIFS('Test Cases'!J2:J187,"High",'Test Cases'!I2:I187,"Fail")</f>
        <v>6</v>
      </c>
    </row>
    <row r="19" ht="15" customHeight="1" spans="1:2" x14ac:dyDescent="0.25">
      <c r="A19" s="8" t="s">
        <v>69</v>
      </c>
      <c r="B19" s="8">
        <f>COUNTIFS('Test Cases'!J2:J187,"Medium",'Test Cases'!I2:I187,"Fail")</f>
        <v>10</v>
      </c>
    </row>
    <row r="20" ht="15" customHeight="1" spans="1:2" x14ac:dyDescent="0.25">
      <c r="A20" s="8" t="s">
        <v>70</v>
      </c>
      <c r="B20" s="8">
        <f>COUNTIFS('Test Cases'!J2:J187,"Low",'Test Cases'!I2:I187,"Fail")</f>
        <v>4</v>
      </c>
    </row>
    <row r="21" ht="15" customHeight="1" spans="1:2" x14ac:dyDescent="0.25">
      <c r="A21" s="8" t="s">
        <v>71</v>
      </c>
      <c r="B21" s="8">
        <f>COUNTIFS('Test Cases'!J2:J187,"Cosmetic",'Test Cases'!I2:I187,"Fail")</f>
        <v>6</v>
      </c>
    </row>
    <row r="24" ht="15" customHeight="1" spans="1:1" x14ac:dyDescent="0.25">
      <c r="A24" s="4" t="s">
        <v>72</v>
      </c>
    </row>
    <row r="25" ht="15" customHeight="1" spans="1:5" x14ac:dyDescent="0.25">
      <c r="A25" s="10" t="s">
        <v>73</v>
      </c>
      <c r="B25" s="10" t="s">
        <v>74</v>
      </c>
      <c r="C25" s="10" t="s">
        <v>58</v>
      </c>
      <c r="D25" s="10" t="s">
        <v>59</v>
      </c>
      <c r="E25" s="10" t="s">
        <v>63</v>
      </c>
    </row>
    <row r="26" ht="15" customHeight="1" spans="1:5" x14ac:dyDescent="0.25">
      <c r="A26" s="11" t="s">
        <v>75</v>
      </c>
      <c r="B26" s="11">
        <f>COUNTIF('Test Cases'!C2:C187,A26)</f>
        <v>13</v>
      </c>
      <c r="C26" s="11">
        <f>COUNTIFS('Test Cases'!C2:C187,A26,'Test Cases'!I2:I187,"Pass")</f>
        <v>9</v>
      </c>
      <c r="D26" s="11">
        <f>COUNTIFS('Test Cases'!C2:C187,A26,'Test Cases'!I2:I187,"Fail")</f>
        <v>1</v>
      </c>
      <c r="E26" s="11">
        <f>COUNTIFS('Test Cases'!C2:C187,A26,'Test Cases'!I2:I187,"Not run")</f>
        <v>1</v>
      </c>
    </row>
    <row r="27" ht="15" customHeight="1" spans="1:5" x14ac:dyDescent="0.25">
      <c r="A27" s="11" t="s">
        <v>76</v>
      </c>
      <c r="B27" s="11">
        <f>COUNTIF('Test Cases'!C2:C187,A27)</f>
        <v>34</v>
      </c>
      <c r="C27" s="11">
        <f>COUNTIFS('Test Cases'!C2:C187,A27,'Test Cases'!I2:I187,"Pass")</f>
        <v>15</v>
      </c>
      <c r="D27" s="11">
        <f>COUNTIFS('Test Cases'!C2:C187,A27,'Test Cases'!I2:I187,"Fail")</f>
        <v>8</v>
      </c>
      <c r="E27" s="11">
        <f>COUNTIFS('Test Cases'!C2:C187,A27,'Test Cases'!I2:I187,"Not run")</f>
        <v>10</v>
      </c>
    </row>
    <row r="28" ht="15" customHeight="1" spans="1:5" x14ac:dyDescent="0.25">
      <c r="A28" s="11" t="s">
        <v>77</v>
      </c>
      <c r="B28" s="11">
        <f>COUNTIF('Test Cases'!C2:C187,A28)</f>
        <v>28</v>
      </c>
      <c r="C28" s="11">
        <f>COUNTIFS('Test Cases'!C2:C187,A28,'Test Cases'!I2:I187,"Pass")</f>
        <v>16</v>
      </c>
      <c r="D28" s="11">
        <f>COUNTIFS('Test Cases'!C2:C187,A28,'Test Cases'!I2:I187,"Fail")</f>
        <v>4</v>
      </c>
      <c r="E28" s="11">
        <f>COUNTIFS('Test Cases'!C2:C187,A28,'Test Cases'!I2:I187,"Not run")</f>
        <v>0</v>
      </c>
    </row>
    <row r="29" ht="15" customHeight="1" spans="1:5" x14ac:dyDescent="0.25">
      <c r="A29" s="11" t="s">
        <v>78</v>
      </c>
      <c r="B29" s="11">
        <f>COUNTIF('Test Cases'!C2:C187,A29)</f>
        <v>9</v>
      </c>
      <c r="C29" s="11">
        <f>COUNTIFS('Test Cases'!C2:C187,A29,'Test Cases'!I2:I187,"Pass")</f>
        <v>2</v>
      </c>
      <c r="D29" s="11">
        <f>COUNTIFS('Test Cases'!C2:C187,A29,'Test Cases'!I2:I187,"Fail")</f>
        <v>0</v>
      </c>
      <c r="E29" s="11">
        <f>COUNTIFS('Test Cases'!C2:C187,A29,'Test Cases'!I2:I187,"Not run")</f>
        <v>7</v>
      </c>
    </row>
    <row r="30" ht="15" customHeight="1" spans="1:5" x14ac:dyDescent="0.25">
      <c r="A30" s="11" t="s">
        <v>79</v>
      </c>
      <c r="B30" s="11">
        <f>COUNTIF('Test Cases'!C2:C187,A30)</f>
        <v>13</v>
      </c>
      <c r="C30" s="11">
        <f>COUNTIFS('Test Cases'!C2:C187,A30,'Test Cases'!I2:I187,"Pass")</f>
        <v>11</v>
      </c>
      <c r="D30" s="11">
        <f>COUNTIFS('Test Cases'!C2:C187,A30,'Test Cases'!I2:I187,"Fail")</f>
        <v>1</v>
      </c>
      <c r="E30" s="11">
        <f>COUNTIFS('Test Cases'!C2:C187,A30,'Test Cases'!I2:I187,"Not run")</f>
        <v>1</v>
      </c>
    </row>
    <row r="31" ht="15" customHeight="1" spans="1:5" x14ac:dyDescent="0.25">
      <c r="A31" s="11" t="s">
        <v>80</v>
      </c>
      <c r="B31" s="11">
        <f>COUNTIF('Test Cases'!C2:C187,A31)</f>
        <v>17</v>
      </c>
      <c r="C31" s="11">
        <f>COUNTIFS('Test Cases'!C2:C187,A31,'Test Cases'!I2:I187,"Pass")</f>
        <v>8</v>
      </c>
      <c r="D31" s="11">
        <f>COUNTIFS('Test Cases'!C2:C187,A31,'Test Cases'!I2:I187,"Fail")</f>
        <v>0</v>
      </c>
      <c r="E31" s="11">
        <f>COUNTIFS('Test Cases'!C2:C187,A31,'Test Cases'!I2:I187,"Not run")</f>
        <v>6</v>
      </c>
    </row>
    <row r="32" ht="15" customHeight="1" spans="1:5" x14ac:dyDescent="0.25">
      <c r="A32" s="11" t="s">
        <v>81</v>
      </c>
      <c r="B32" s="11">
        <f>COUNTIF('Test Cases'!C2:C187,A32)</f>
        <v>11</v>
      </c>
      <c r="C32" s="11">
        <f>COUNTIFS('Test Cases'!C2:C187,A32,'Test Cases'!I2:I187,"Pass")</f>
        <v>8</v>
      </c>
      <c r="D32" s="11">
        <f>COUNTIFS('Test Cases'!C2:C187,A32,'Test Cases'!I2:I187,"Fail")</f>
        <v>1</v>
      </c>
      <c r="E32" s="11">
        <f>COUNTIFS('Test Cases'!C2:C187,A32,'Test Cases'!I2:I187,"Not run")</f>
        <v>2</v>
      </c>
    </row>
    <row r="33" ht="15" customHeight="1" spans="1:5" x14ac:dyDescent="0.25">
      <c r="A33" s="11" t="s">
        <v>82</v>
      </c>
      <c r="B33" s="11">
        <f>COUNTIF('Test Cases'!C2:C187,A33)</f>
        <v>14</v>
      </c>
      <c r="C33" s="11">
        <f>COUNTIFS('Test Cases'!C2:C187,A33,'Test Cases'!I2:I187,"Pass")</f>
        <v>8</v>
      </c>
      <c r="D33" s="11">
        <f>COUNTIFS('Test Cases'!C2:C187,A33,'Test Cases'!I2:I187,"Fail")</f>
        <v>4</v>
      </c>
      <c r="E33" s="11">
        <f>COUNTIFS('Test Cases'!C2:C187,A33,'Test Cases'!I2:I187,"Not run")</f>
        <v>0</v>
      </c>
    </row>
    <row r="34" ht="15" customHeight="1" spans="1:5" x14ac:dyDescent="0.25">
      <c r="A34" s="11" t="s">
        <v>83</v>
      </c>
      <c r="B34" s="11">
        <f>COUNTIF('Test Cases'!C2:C187,A34)</f>
        <v>10</v>
      </c>
      <c r="C34" s="11">
        <f>COUNTIFS('Test Cases'!C2:C187,A34,'Test Cases'!I2:I187,"Pass")</f>
        <v>3</v>
      </c>
      <c r="D34" s="11">
        <f>COUNTIFS('Test Cases'!C2:C187,A34,'Test Cases'!I2:I187,"Fail")</f>
        <v>4</v>
      </c>
      <c r="E34" s="11">
        <f>COUNTIFS('Test Cases'!C2:C187,A34,'Test Cases'!I2:I187,"Not run")</f>
        <v>1</v>
      </c>
    </row>
    <row r="35" ht="15" customHeight="1" spans="1:5" x14ac:dyDescent="0.25">
      <c r="A35" s="11" t="s">
        <v>84</v>
      </c>
      <c r="B35" s="11">
        <f>COUNTIF('Test Cases'!C2:C187,A35)</f>
        <v>9</v>
      </c>
      <c r="C35" s="11">
        <f>COUNTIFS('Test Cases'!C2:C187,A35,'Test Cases'!I2:I187,"Pass")</f>
        <v>7</v>
      </c>
      <c r="D35" s="11">
        <f>COUNTIFS('Test Cases'!C2:C187,A35,'Test Cases'!I2:I187,"Fail")</f>
        <v>1</v>
      </c>
      <c r="E35" s="11">
        <f>COUNTIFS('Test Cases'!C2:C187,A35,'Test Cases'!I2:I187,"Not run")</f>
        <v>0</v>
      </c>
    </row>
    <row r="36" ht="15" customHeight="1" spans="1:5" x14ac:dyDescent="0.25">
      <c r="A36" s="11" t="s">
        <v>85</v>
      </c>
      <c r="B36" s="11">
        <f>COUNTIF('Test Cases'!C2:C187,A36)</f>
        <v>18</v>
      </c>
      <c r="C36" s="11">
        <f>COUNTIFS('Test Cases'!C2:C187,A36,'Test Cases'!I2:I187,"Pass")</f>
        <v>3</v>
      </c>
      <c r="D36" s="11">
        <f>COUNTIFS('Test Cases'!C2:C187,A36,'Test Cases'!I2:I187,"Fail")</f>
        <v>8</v>
      </c>
      <c r="E36" s="11">
        <f>COUNTIFS('Test Cases'!C2:C187,A36,'Test Cases'!I2:I187,"Not run")</f>
        <v>5</v>
      </c>
    </row>
    <row r="37" ht="15" customHeight="1" spans="1:5" x14ac:dyDescent="0.25">
      <c r="A37" s="11" t="s">
        <v>86</v>
      </c>
      <c r="B37" s="11">
        <f>COUNTIF('Test Cases'!C2:C187,A37)</f>
        <v>10</v>
      </c>
      <c r="C37" s="11">
        <f>COUNTIFS('Test Cases'!C2:C187,A37,'Test Cases'!I2:I187,"Pass")</f>
        <v>0</v>
      </c>
      <c r="D37" s="11">
        <f>COUNTIFS('Test Cases'!C2:C187,A37,'Test Cases'!I2:I187,"Fail")</f>
        <v>0</v>
      </c>
      <c r="E37" s="11">
        <f>COUNTIFS('Test Cases'!C2:C187,A37,'Test Cases'!I2:I187,"Not run")</f>
        <v>0</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2"/>
  <sheetViews>
    <sheetView workbookViewId="0" zoomScale="100" zoomScaleNormal="100" view="normal">
      <selection activeCell="A1" sqref="A1"/>
    </sheetView>
  </sheetViews>
  <sheetFormatPr defaultRowHeight="15" outlineLevelRow="0" outlineLevelCol="0" x14ac:dyDescent="0" defaultColWidth="8.6796875"/>
  <cols>
    <col min="1" max="1" width="24" style="5" customWidth="1"/>
    <col min="2" max="2" width="110" style="5" customWidth="1"/>
  </cols>
  <sheetData>
    <row r="1" ht="17.25" customHeight="1" spans="1:1" x14ac:dyDescent="0.25">
      <c r="A1" s="6" t="s">
        <v>87</v>
      </c>
    </row>
    <row r="2" ht="15" customHeight="1" spans="1:2" x14ac:dyDescent="0.25">
      <c r="A2" s="2"/>
      <c r="B2" s="3"/>
    </row>
    <row r="3" ht="15" customHeight="1" spans="1:2" x14ac:dyDescent="0.25">
      <c r="A3" s="2" t="s">
        <v>1</v>
      </c>
      <c r="B3" s="3" t="s">
        <v>88</v>
      </c>
    </row>
    <row r="4" ht="15" customHeight="1" spans="1:2" x14ac:dyDescent="0.25">
      <c r="A4" s="2" t="s">
        <v>89</v>
      </c>
      <c r="B4" s="3" t="s">
        <v>90</v>
      </c>
    </row>
    <row r="5" ht="15" customHeight="1" spans="1:2" x14ac:dyDescent="0.25">
      <c r="A5" s="2" t="s">
        <v>91</v>
      </c>
      <c r="B5" s="3" t="s">
        <v>92</v>
      </c>
    </row>
    <row r="6" ht="15" customHeight="1" spans="1:2" x14ac:dyDescent="0.25">
      <c r="A6" s="2" t="s">
        <v>93</v>
      </c>
      <c r="B6" s="3" t="s">
        <v>94</v>
      </c>
    </row>
    <row r="7" ht="15" customHeight="1" spans="1:2" x14ac:dyDescent="0.25">
      <c r="A7" s="2"/>
      <c r="B7" s="3"/>
    </row>
    <row r="8" ht="15" customHeight="1" spans="1:1" x14ac:dyDescent="0.25">
      <c r="A8" s="4" t="s">
        <v>95</v>
      </c>
    </row>
    <row r="9" ht="15" customHeight="1" spans="1:2" x14ac:dyDescent="0.25">
      <c r="A9" s="2" t="s">
        <v>96</v>
      </c>
      <c r="B9" s="3" t="s">
        <v>97</v>
      </c>
    </row>
    <row r="10" ht="23.25" customHeight="1" spans="1:2" x14ac:dyDescent="0.25">
      <c r="A10" s="2" t="s">
        <v>98</v>
      </c>
      <c r="B10" s="3" t="s">
        <v>99</v>
      </c>
    </row>
    <row r="11" ht="15" customHeight="1" spans="1:2" x14ac:dyDescent="0.25">
      <c r="A11" s="2" t="s">
        <v>100</v>
      </c>
      <c r="B11" s="3" t="s">
        <v>101</v>
      </c>
    </row>
    <row r="12" ht="23.25" customHeight="1" spans="1:2" x14ac:dyDescent="0.25">
      <c r="A12" s="2" t="s">
        <v>102</v>
      </c>
      <c r="B12" s="3" t="s">
        <v>103</v>
      </c>
    </row>
    <row r="13" ht="15" customHeight="1" spans="1:2" x14ac:dyDescent="0.25">
      <c r="A13" s="2" t="s">
        <v>104</v>
      </c>
      <c r="B13" s="3" t="s">
        <v>105</v>
      </c>
    </row>
    <row r="14" ht="15" customHeight="1" spans="1:2" x14ac:dyDescent="0.25">
      <c r="A14" s="2"/>
      <c r="B14" s="3"/>
    </row>
    <row r="15" ht="15" customHeight="1" spans="1:1" x14ac:dyDescent="0.25">
      <c r="A15" s="4" t="s">
        <v>106</v>
      </c>
    </row>
    <row r="16" ht="23.25" customHeight="1" spans="1:2" x14ac:dyDescent="0.25">
      <c r="A16" s="2" t="s">
        <v>96</v>
      </c>
      <c r="B16" s="3" t="s">
        <v>107</v>
      </c>
    </row>
    <row r="17" ht="15" customHeight="1" spans="1:2" x14ac:dyDescent="0.25">
      <c r="A17" s="2" t="s">
        <v>98</v>
      </c>
      <c r="B17" s="3" t="s">
        <v>108</v>
      </c>
    </row>
    <row r="18" ht="15" customHeight="1" spans="1:2" x14ac:dyDescent="0.25">
      <c r="A18" s="2" t="s">
        <v>100</v>
      </c>
      <c r="B18" s="3" t="s">
        <v>109</v>
      </c>
    </row>
    <row r="19" ht="15" customHeight="1" spans="1:2" x14ac:dyDescent="0.25">
      <c r="A19" s="2" t="s">
        <v>102</v>
      </c>
      <c r="B19" s="3" t="s">
        <v>110</v>
      </c>
    </row>
    <row r="20" ht="15" customHeight="1" spans="1:2" x14ac:dyDescent="0.25">
      <c r="A20" s="2"/>
      <c r="B20" s="3"/>
    </row>
    <row r="21" ht="15" customHeight="1" spans="1:1" x14ac:dyDescent="0.25">
      <c r="A21" s="4" t="s">
        <v>111</v>
      </c>
    </row>
    <row r="22" ht="15" customHeight="1" spans="1:2" x14ac:dyDescent="0.25">
      <c r="A22" s="2" t="s">
        <v>96</v>
      </c>
      <c r="B22" s="3" t="s">
        <v>112</v>
      </c>
    </row>
    <row r="23" ht="23.25" customHeight="1" spans="1:2" x14ac:dyDescent="0.25">
      <c r="A23" s="2" t="s">
        <v>98</v>
      </c>
      <c r="B23" s="3" t="s">
        <v>113</v>
      </c>
    </row>
    <row r="24" ht="15" customHeight="1" spans="1:2" x14ac:dyDescent="0.25">
      <c r="A24" s="2" t="s">
        <v>100</v>
      </c>
      <c r="B24" s="3" t="s">
        <v>114</v>
      </c>
    </row>
    <row r="25" ht="15" customHeight="1" spans="1:2" x14ac:dyDescent="0.25">
      <c r="A25" s="2" t="s">
        <v>102</v>
      </c>
      <c r="B25" s="3" t="s">
        <v>115</v>
      </c>
    </row>
    <row r="26" ht="15" customHeight="1" spans="1:2" x14ac:dyDescent="0.25">
      <c r="A26" s="2"/>
      <c r="B26" s="3"/>
    </row>
    <row r="27" ht="15" customHeight="1" spans="1:1" x14ac:dyDescent="0.25">
      <c r="A27" s="4" t="s">
        <v>116</v>
      </c>
    </row>
    <row r="28" ht="15" customHeight="1" spans="1:2" x14ac:dyDescent="0.25">
      <c r="A28" s="2" t="s">
        <v>67</v>
      </c>
      <c r="B28" s="3" t="s">
        <v>117</v>
      </c>
    </row>
    <row r="29" ht="15" customHeight="1" spans="1:2" x14ac:dyDescent="0.25">
      <c r="A29" s="2" t="s">
        <v>68</v>
      </c>
      <c r="B29" s="3" t="s">
        <v>118</v>
      </c>
    </row>
    <row r="30" ht="15" customHeight="1" spans="1:2" x14ac:dyDescent="0.25">
      <c r="A30" s="2" t="s">
        <v>69</v>
      </c>
      <c r="B30" s="3" t="s">
        <v>119</v>
      </c>
    </row>
    <row r="31" ht="15" customHeight="1" spans="1:2" x14ac:dyDescent="0.25">
      <c r="A31" s="2" t="s">
        <v>70</v>
      </c>
      <c r="B31" s="3" t="s">
        <v>120</v>
      </c>
    </row>
    <row r="32" ht="15" customHeight="1" spans="1:2" x14ac:dyDescent="0.25">
      <c r="A32" s="2" t="s">
        <v>71</v>
      </c>
      <c r="B32" s="3" t="s">
        <v>121</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7"/>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8.6796875"/>
  <cols>
    <col min="1" max="1" width="10" style="5" customWidth="1"/>
    <col min="2" max="2" width="11" style="5" customWidth="1"/>
    <col min="3" max="4" width="15" style="5" customWidth="1"/>
    <col min="5" max="5" width="13" style="5" customWidth="1"/>
    <col min="6" max="7" width="52" style="5" customWidth="1"/>
    <col min="8" max="8" width="38" style="5" customWidth="1"/>
    <col min="9" max="9" width="13" style="5" customWidth="1"/>
    <col min="10" max="10" width="11" style="5" customWidth="1"/>
    <col min="11" max="11" width="30" style="5" customWidth="1"/>
  </cols>
  <sheetData>
    <row r="1" ht="15" customHeight="1" spans="1:11" x14ac:dyDescent="0.25">
      <c r="A1" s="12" t="s">
        <v>122</v>
      </c>
      <c r="B1" s="12" t="s">
        <v>123</v>
      </c>
      <c r="C1" s="12" t="s">
        <v>73</v>
      </c>
      <c r="D1" s="12" t="s">
        <v>124</v>
      </c>
      <c r="E1" s="12" t="s">
        <v>125</v>
      </c>
      <c r="F1" s="12" t="s">
        <v>126</v>
      </c>
      <c r="G1" s="12" t="s">
        <v>127</v>
      </c>
      <c r="H1" s="12" t="s">
        <v>128</v>
      </c>
      <c r="I1" s="12" t="s">
        <v>129</v>
      </c>
      <c r="J1" s="12" t="s">
        <v>130</v>
      </c>
      <c r="K1" s="12" t="s">
        <v>131</v>
      </c>
    </row>
    <row r="2" ht="15" customHeight="1" spans="1:11" x14ac:dyDescent="0.25">
      <c r="A2" s="13" t="s">
        <v>132</v>
      </c>
      <c r="B2" s="13" t="s">
        <v>133</v>
      </c>
      <c r="C2" s="13" t="s">
        <v>75</v>
      </c>
      <c r="D2" s="13" t="s">
        <v>134</v>
      </c>
      <c r="E2" s="13" t="s">
        <v>135</v>
      </c>
      <c r="F2" s="14" t="s">
        <v>136</v>
      </c>
      <c r="G2" s="14" t="s">
        <v>137</v>
      </c>
      <c r="H2" s="14" t="s">
        <v>138</v>
      </c>
      <c r="I2" s="15" t="s">
        <v>58</v>
      </c>
      <c r="J2" s="13"/>
      <c r="K2" s="14"/>
    </row>
    <row r="3" ht="23.25" customHeight="1" spans="1:11" x14ac:dyDescent="0.25">
      <c r="A3" s="13" t="s">
        <v>139</v>
      </c>
      <c r="B3" s="13" t="s">
        <v>140</v>
      </c>
      <c r="C3" s="13" t="s">
        <v>75</v>
      </c>
      <c r="D3" s="13" t="s">
        <v>134</v>
      </c>
      <c r="E3" s="13" t="s">
        <v>135</v>
      </c>
      <c r="F3" s="14" t="s">
        <v>141</v>
      </c>
      <c r="G3" s="14" t="s">
        <v>142</v>
      </c>
      <c r="H3" s="14" t="s">
        <v>143</v>
      </c>
      <c r="I3" s="15" t="s">
        <v>58</v>
      </c>
      <c r="J3" s="13"/>
      <c r="K3" s="14"/>
    </row>
    <row r="4" ht="23.25" customHeight="1" spans="1:11" x14ac:dyDescent="0.25">
      <c r="A4" s="13" t="s">
        <v>144</v>
      </c>
      <c r="B4" s="13" t="s">
        <v>145</v>
      </c>
      <c r="C4" s="13" t="s">
        <v>75</v>
      </c>
      <c r="D4" s="13" t="s">
        <v>134</v>
      </c>
      <c r="E4" s="13" t="s">
        <v>135</v>
      </c>
      <c r="F4" s="14" t="s">
        <v>146</v>
      </c>
      <c r="G4" s="14" t="s">
        <v>142</v>
      </c>
      <c r="H4" s="14" t="s">
        <v>147</v>
      </c>
      <c r="I4" s="15" t="s">
        <v>58</v>
      </c>
      <c r="J4" s="13"/>
      <c r="K4" s="14"/>
    </row>
    <row r="5" ht="23.25" customHeight="1" spans="1:11" x14ac:dyDescent="0.25">
      <c r="A5" s="13" t="s">
        <v>148</v>
      </c>
      <c r="B5" s="13" t="s">
        <v>133</v>
      </c>
      <c r="C5" s="13" t="s">
        <v>75</v>
      </c>
      <c r="D5" s="13" t="s">
        <v>134</v>
      </c>
      <c r="E5" s="13" t="s">
        <v>135</v>
      </c>
      <c r="F5" s="14" t="s">
        <v>149</v>
      </c>
      <c r="G5" s="14" t="s">
        <v>150</v>
      </c>
      <c r="H5" s="14" t="s">
        <v>151</v>
      </c>
      <c r="I5" s="15" t="s">
        <v>58</v>
      </c>
      <c r="J5" s="13"/>
      <c r="K5" s="14" t="s">
        <v>152</v>
      </c>
    </row>
    <row r="6" ht="23.25" customHeight="1" spans="1:11" x14ac:dyDescent="0.25">
      <c r="A6" s="13" t="s">
        <v>153</v>
      </c>
      <c r="B6" s="13" t="s">
        <v>154</v>
      </c>
      <c r="C6" s="13" t="s">
        <v>75</v>
      </c>
      <c r="D6" s="13" t="s">
        <v>134</v>
      </c>
      <c r="E6" s="13" t="s">
        <v>155</v>
      </c>
      <c r="F6" s="14" t="s">
        <v>156</v>
      </c>
      <c r="G6" s="14" t="s">
        <v>157</v>
      </c>
      <c r="H6" s="14" t="s">
        <v>158</v>
      </c>
      <c r="I6" s="15" t="s">
        <v>58</v>
      </c>
      <c r="J6" s="13"/>
      <c r="K6" s="14" t="s">
        <v>159</v>
      </c>
    </row>
    <row r="7" ht="23.25" customHeight="1" spans="1:11" x14ac:dyDescent="0.25">
      <c r="A7" s="13" t="s">
        <v>160</v>
      </c>
      <c r="B7" s="13" t="s">
        <v>133</v>
      </c>
      <c r="C7" s="13" t="s">
        <v>75</v>
      </c>
      <c r="D7" s="13" t="s">
        <v>161</v>
      </c>
      <c r="E7" s="13" t="s">
        <v>162</v>
      </c>
      <c r="F7" s="14" t="s">
        <v>163</v>
      </c>
      <c r="G7" s="14" t="s">
        <v>164</v>
      </c>
      <c r="H7" s="14" t="s">
        <v>165</v>
      </c>
      <c r="I7" s="15" t="s">
        <v>58</v>
      </c>
      <c r="J7" s="13"/>
      <c r="K7" s="14"/>
    </row>
    <row r="8" ht="15" customHeight="1" spans="1:11" x14ac:dyDescent="0.25">
      <c r="A8" s="13" t="s">
        <v>166</v>
      </c>
      <c r="B8" s="13" t="s">
        <v>133</v>
      </c>
      <c r="C8" s="13" t="s">
        <v>75</v>
      </c>
      <c r="D8" s="13" t="s">
        <v>167</v>
      </c>
      <c r="E8" s="13" t="s">
        <v>135</v>
      </c>
      <c r="F8" s="14" t="s">
        <v>168</v>
      </c>
      <c r="G8" s="14" t="s">
        <v>169</v>
      </c>
      <c r="H8" s="14" t="s">
        <v>170</v>
      </c>
      <c r="I8" s="13" t="s">
        <v>63</v>
      </c>
      <c r="J8" s="13"/>
      <c r="K8" s="14" t="s">
        <v>171</v>
      </c>
    </row>
    <row r="9" ht="23.25" customHeight="1" spans="1:11" x14ac:dyDescent="0.25">
      <c r="A9" s="13" t="s">
        <v>172</v>
      </c>
      <c r="B9" s="13" t="s">
        <v>133</v>
      </c>
      <c r="C9" s="13" t="s">
        <v>75</v>
      </c>
      <c r="D9" s="13" t="s">
        <v>134</v>
      </c>
      <c r="E9" s="13" t="s">
        <v>135</v>
      </c>
      <c r="F9" s="14" t="s">
        <v>173</v>
      </c>
      <c r="G9" s="14" t="s">
        <v>174</v>
      </c>
      <c r="H9" s="14" t="s">
        <v>175</v>
      </c>
      <c r="I9" s="16" t="s">
        <v>60</v>
      </c>
      <c r="J9" s="13"/>
      <c r="K9" s="14" t="s">
        <v>176</v>
      </c>
    </row>
    <row r="10" ht="23.25" customHeight="1" spans="1:11" x14ac:dyDescent="0.25">
      <c r="A10" s="13" t="s">
        <v>177</v>
      </c>
      <c r="B10" s="13" t="s">
        <v>133</v>
      </c>
      <c r="C10" s="13" t="s">
        <v>75</v>
      </c>
      <c r="D10" s="13" t="s">
        <v>178</v>
      </c>
      <c r="E10" s="13" t="s">
        <v>135</v>
      </c>
      <c r="F10" s="14" t="s">
        <v>179</v>
      </c>
      <c r="G10" s="14" t="s">
        <v>180</v>
      </c>
      <c r="H10" s="14" t="s">
        <v>181</v>
      </c>
      <c r="I10" s="15" t="s">
        <v>58</v>
      </c>
      <c r="J10" s="13"/>
      <c r="K10" s="14"/>
    </row>
    <row r="11" ht="23.25" customHeight="1" spans="1:11" x14ac:dyDescent="0.25">
      <c r="A11" s="13" t="s">
        <v>182</v>
      </c>
      <c r="B11" s="13" t="s">
        <v>133</v>
      </c>
      <c r="C11" s="13" t="s">
        <v>75</v>
      </c>
      <c r="D11" s="13" t="s">
        <v>183</v>
      </c>
      <c r="E11" s="13" t="s">
        <v>135</v>
      </c>
      <c r="F11" s="14" t="s">
        <v>184</v>
      </c>
      <c r="G11" s="14" t="s">
        <v>185</v>
      </c>
      <c r="H11" s="14" t="s">
        <v>186</v>
      </c>
      <c r="I11" s="16" t="s">
        <v>62</v>
      </c>
      <c r="J11" s="13"/>
      <c r="K11" s="14" t="s">
        <v>187</v>
      </c>
    </row>
    <row r="12" ht="23.25" customHeight="1" spans="1:11" x14ac:dyDescent="0.25">
      <c r="A12" s="13" t="s">
        <v>188</v>
      </c>
      <c r="B12" s="13" t="s">
        <v>189</v>
      </c>
      <c r="C12" s="13" t="s">
        <v>76</v>
      </c>
      <c r="D12" s="13" t="s">
        <v>134</v>
      </c>
      <c r="E12" s="13" t="s">
        <v>162</v>
      </c>
      <c r="F12" s="14" t="s">
        <v>190</v>
      </c>
      <c r="G12" s="14" t="s">
        <v>191</v>
      </c>
      <c r="H12" s="14" t="s">
        <v>192</v>
      </c>
      <c r="I12" s="15" t="s">
        <v>58</v>
      </c>
      <c r="J12" s="13"/>
      <c r="K12" s="14"/>
    </row>
    <row r="13" ht="15" customHeight="1" spans="1:11" x14ac:dyDescent="0.25">
      <c r="A13" s="13" t="s">
        <v>193</v>
      </c>
      <c r="B13" s="13" t="s">
        <v>189</v>
      </c>
      <c r="C13" s="13" t="s">
        <v>76</v>
      </c>
      <c r="D13" s="13" t="s">
        <v>134</v>
      </c>
      <c r="E13" s="13" t="s">
        <v>162</v>
      </c>
      <c r="F13" s="14" t="s">
        <v>194</v>
      </c>
      <c r="G13" s="14" t="s">
        <v>195</v>
      </c>
      <c r="H13" s="14" t="s">
        <v>196</v>
      </c>
      <c r="I13" s="15" t="s">
        <v>58</v>
      </c>
      <c r="J13" s="13"/>
      <c r="K13" s="14"/>
    </row>
    <row r="14" ht="15" customHeight="1" spans="1:11" x14ac:dyDescent="0.25">
      <c r="A14" s="13" t="s">
        <v>197</v>
      </c>
      <c r="B14" s="13" t="s">
        <v>189</v>
      </c>
      <c r="C14" s="13" t="s">
        <v>76</v>
      </c>
      <c r="D14" s="13" t="s">
        <v>134</v>
      </c>
      <c r="E14" s="13" t="s">
        <v>162</v>
      </c>
      <c r="F14" s="14" t="s">
        <v>198</v>
      </c>
      <c r="G14" s="14" t="s">
        <v>199</v>
      </c>
      <c r="H14" s="14" t="s">
        <v>200</v>
      </c>
      <c r="I14" s="15" t="s">
        <v>58</v>
      </c>
      <c r="J14" s="13"/>
      <c r="K14" s="14"/>
    </row>
    <row r="15" ht="23.25" customHeight="1" spans="1:11" x14ac:dyDescent="0.25">
      <c r="A15" s="13" t="s">
        <v>201</v>
      </c>
      <c r="B15" s="13" t="s">
        <v>189</v>
      </c>
      <c r="C15" s="13" t="s">
        <v>76</v>
      </c>
      <c r="D15" s="13" t="s">
        <v>134</v>
      </c>
      <c r="E15" s="13" t="s">
        <v>162</v>
      </c>
      <c r="F15" s="14" t="s">
        <v>202</v>
      </c>
      <c r="G15" s="14" t="s">
        <v>203</v>
      </c>
      <c r="H15" s="14"/>
      <c r="I15" s="13" t="s">
        <v>63</v>
      </c>
      <c r="J15" s="13"/>
      <c r="K15" s="14"/>
    </row>
    <row r="16" ht="15" customHeight="1" spans="1:11" x14ac:dyDescent="0.25">
      <c r="A16" s="13" t="s">
        <v>204</v>
      </c>
      <c r="B16" s="13" t="s">
        <v>189</v>
      </c>
      <c r="C16" s="13" t="s">
        <v>76</v>
      </c>
      <c r="D16" s="13" t="s">
        <v>134</v>
      </c>
      <c r="E16" s="13" t="s">
        <v>205</v>
      </c>
      <c r="F16" s="14" t="s">
        <v>206</v>
      </c>
      <c r="G16" s="14" t="s">
        <v>207</v>
      </c>
      <c r="H16" s="14" t="s">
        <v>208</v>
      </c>
      <c r="I16" s="15" t="s">
        <v>58</v>
      </c>
      <c r="J16" s="13"/>
      <c r="K16" s="14"/>
    </row>
    <row r="17" ht="15" customHeight="1" spans="1:11" x14ac:dyDescent="0.25">
      <c r="A17" s="13" t="s">
        <v>209</v>
      </c>
      <c r="B17" s="13" t="s">
        <v>189</v>
      </c>
      <c r="C17" s="13" t="s">
        <v>76</v>
      </c>
      <c r="D17" s="13" t="s">
        <v>134</v>
      </c>
      <c r="E17" s="13" t="s">
        <v>205</v>
      </c>
      <c r="F17" s="14" t="s">
        <v>210</v>
      </c>
      <c r="G17" s="14" t="s">
        <v>211</v>
      </c>
      <c r="H17" s="14" t="s">
        <v>212</v>
      </c>
      <c r="I17" s="15" t="s">
        <v>58</v>
      </c>
      <c r="J17" s="13"/>
      <c r="K17" s="14"/>
    </row>
    <row r="18" ht="15" customHeight="1" spans="1:11" x14ac:dyDescent="0.25">
      <c r="A18" s="13" t="s">
        <v>213</v>
      </c>
      <c r="B18" s="13" t="s">
        <v>189</v>
      </c>
      <c r="C18" s="13" t="s">
        <v>76</v>
      </c>
      <c r="D18" s="13" t="s">
        <v>134</v>
      </c>
      <c r="E18" s="13" t="s">
        <v>205</v>
      </c>
      <c r="F18" s="14" t="s">
        <v>214</v>
      </c>
      <c r="G18" s="14" t="s">
        <v>215</v>
      </c>
      <c r="H18" s="14" t="s">
        <v>216</v>
      </c>
      <c r="I18" s="15" t="s">
        <v>58</v>
      </c>
      <c r="J18" s="13"/>
      <c r="K18" s="14" t="s">
        <v>217</v>
      </c>
    </row>
    <row r="19" ht="23.25" customHeight="1" spans="1:11" x14ac:dyDescent="0.25">
      <c r="A19" s="13" t="s">
        <v>218</v>
      </c>
      <c r="B19" s="13" t="s">
        <v>189</v>
      </c>
      <c r="C19" s="13" t="s">
        <v>76</v>
      </c>
      <c r="D19" s="13" t="s">
        <v>134</v>
      </c>
      <c r="E19" s="13" t="s">
        <v>162</v>
      </c>
      <c r="F19" s="14" t="s">
        <v>219</v>
      </c>
      <c r="G19" s="14" t="s">
        <v>220</v>
      </c>
      <c r="H19" s="14" t="s">
        <v>221</v>
      </c>
      <c r="I19" s="17" t="s">
        <v>59</v>
      </c>
      <c r="J19" s="13" t="s">
        <v>69</v>
      </c>
      <c r="K19" s="14" t="s">
        <v>222</v>
      </c>
    </row>
    <row r="20" ht="15" customHeight="1" spans="1:11" x14ac:dyDescent="0.25">
      <c r="A20" s="13" t="s">
        <v>223</v>
      </c>
      <c r="B20" s="13" t="s">
        <v>189</v>
      </c>
      <c r="C20" s="13" t="s">
        <v>76</v>
      </c>
      <c r="D20" s="13" t="s">
        <v>134</v>
      </c>
      <c r="E20" s="13" t="s">
        <v>162</v>
      </c>
      <c r="F20" s="14" t="s">
        <v>224</v>
      </c>
      <c r="G20" s="14" t="s">
        <v>225</v>
      </c>
      <c r="H20" s="14" t="s">
        <v>226</v>
      </c>
      <c r="I20" s="15" t="s">
        <v>58</v>
      </c>
      <c r="J20" s="13"/>
      <c r="K20" s="14" t="s">
        <v>227</v>
      </c>
    </row>
    <row r="21" ht="15" customHeight="1" spans="1:11" x14ac:dyDescent="0.25">
      <c r="A21" s="13" t="s">
        <v>228</v>
      </c>
      <c r="B21" s="13" t="s">
        <v>189</v>
      </c>
      <c r="C21" s="13" t="s">
        <v>76</v>
      </c>
      <c r="D21" s="13" t="s">
        <v>134</v>
      </c>
      <c r="E21" s="13" t="s">
        <v>162</v>
      </c>
      <c r="F21" s="14" t="s">
        <v>229</v>
      </c>
      <c r="G21" s="14" t="s">
        <v>230</v>
      </c>
      <c r="H21" s="14" t="s">
        <v>231</v>
      </c>
      <c r="I21" s="15" t="s">
        <v>58</v>
      </c>
      <c r="J21" s="13"/>
      <c r="K21" s="14"/>
    </row>
    <row r="22" ht="15" customHeight="1" spans="1:11" x14ac:dyDescent="0.25">
      <c r="A22" s="13" t="s">
        <v>232</v>
      </c>
      <c r="B22" s="13" t="s">
        <v>189</v>
      </c>
      <c r="C22" s="13" t="s">
        <v>76</v>
      </c>
      <c r="D22" s="13" t="s">
        <v>134</v>
      </c>
      <c r="E22" s="13" t="s">
        <v>162</v>
      </c>
      <c r="F22" s="14" t="s">
        <v>233</v>
      </c>
      <c r="G22" s="14" t="s">
        <v>234</v>
      </c>
      <c r="H22" s="14" t="s">
        <v>235</v>
      </c>
      <c r="I22" s="17" t="s">
        <v>59</v>
      </c>
      <c r="J22" s="13" t="s">
        <v>69</v>
      </c>
      <c r="K22" s="14" t="s">
        <v>236</v>
      </c>
    </row>
    <row r="23" ht="23.25" customHeight="1" spans="1:11" x14ac:dyDescent="0.25">
      <c r="A23" s="13" t="s">
        <v>237</v>
      </c>
      <c r="B23" s="13" t="s">
        <v>189</v>
      </c>
      <c r="C23" s="13" t="s">
        <v>76</v>
      </c>
      <c r="D23" s="13" t="s">
        <v>134</v>
      </c>
      <c r="E23" s="13" t="s">
        <v>162</v>
      </c>
      <c r="F23" s="14" t="s">
        <v>238</v>
      </c>
      <c r="G23" s="14" t="s">
        <v>239</v>
      </c>
      <c r="H23" s="14" t="s">
        <v>240</v>
      </c>
      <c r="I23" s="15" t="s">
        <v>58</v>
      </c>
      <c r="J23" s="13"/>
      <c r="K23" s="14"/>
    </row>
    <row r="24" ht="23.25" customHeight="1" spans="1:11" x14ac:dyDescent="0.25">
      <c r="A24" s="13" t="s">
        <v>241</v>
      </c>
      <c r="B24" s="13" t="s">
        <v>189</v>
      </c>
      <c r="C24" s="13" t="s">
        <v>76</v>
      </c>
      <c r="D24" s="13" t="s">
        <v>134</v>
      </c>
      <c r="E24" s="13" t="s">
        <v>162</v>
      </c>
      <c r="F24" s="14" t="s">
        <v>242</v>
      </c>
      <c r="G24" s="14" t="s">
        <v>243</v>
      </c>
      <c r="H24" s="14"/>
      <c r="I24" s="13" t="s">
        <v>63</v>
      </c>
      <c r="J24" s="13"/>
      <c r="K24" s="14"/>
    </row>
    <row r="25" ht="23.25" customHeight="1" spans="1:11" x14ac:dyDescent="0.25">
      <c r="A25" s="13" t="s">
        <v>244</v>
      </c>
      <c r="B25" s="13" t="s">
        <v>189</v>
      </c>
      <c r="C25" s="13" t="s">
        <v>76</v>
      </c>
      <c r="D25" s="13" t="s">
        <v>134</v>
      </c>
      <c r="E25" s="13" t="s">
        <v>162</v>
      </c>
      <c r="F25" s="14" t="s">
        <v>245</v>
      </c>
      <c r="G25" s="14" t="s">
        <v>246</v>
      </c>
      <c r="H25" s="14"/>
      <c r="I25" s="13" t="s">
        <v>63</v>
      </c>
      <c r="J25" s="13"/>
      <c r="K25" s="14"/>
    </row>
    <row r="26" ht="15" customHeight="1" spans="1:11" x14ac:dyDescent="0.25">
      <c r="A26" s="13" t="s">
        <v>247</v>
      </c>
      <c r="B26" s="13" t="s">
        <v>189</v>
      </c>
      <c r="C26" s="13" t="s">
        <v>76</v>
      </c>
      <c r="D26" s="13" t="s">
        <v>134</v>
      </c>
      <c r="E26" s="13" t="s">
        <v>155</v>
      </c>
      <c r="F26" s="14" t="s">
        <v>248</v>
      </c>
      <c r="G26" s="14" t="s">
        <v>249</v>
      </c>
      <c r="H26" s="14" t="s">
        <v>250</v>
      </c>
      <c r="I26" s="15" t="s">
        <v>58</v>
      </c>
      <c r="J26" s="13" t="s">
        <v>70</v>
      </c>
      <c r="K26" s="14" t="s">
        <v>251</v>
      </c>
    </row>
    <row r="27" ht="15" customHeight="1" spans="1:11" x14ac:dyDescent="0.25">
      <c r="A27" s="13" t="s">
        <v>252</v>
      </c>
      <c r="B27" s="13" t="s">
        <v>189</v>
      </c>
      <c r="C27" s="13" t="s">
        <v>76</v>
      </c>
      <c r="D27" s="13" t="s">
        <v>134</v>
      </c>
      <c r="E27" s="13" t="s">
        <v>155</v>
      </c>
      <c r="F27" s="14" t="s">
        <v>253</v>
      </c>
      <c r="G27" s="14" t="s">
        <v>254</v>
      </c>
      <c r="H27" s="14" t="s">
        <v>255</v>
      </c>
      <c r="I27" s="15" t="s">
        <v>58</v>
      </c>
      <c r="J27" s="13"/>
      <c r="K27" s="14"/>
    </row>
    <row r="28" ht="23.25" customHeight="1" spans="1:11" x14ac:dyDescent="0.25">
      <c r="A28" s="13" t="s">
        <v>256</v>
      </c>
      <c r="B28" s="13" t="s">
        <v>189</v>
      </c>
      <c r="C28" s="13" t="s">
        <v>76</v>
      </c>
      <c r="D28" s="13" t="s">
        <v>134</v>
      </c>
      <c r="E28" s="13" t="s">
        <v>155</v>
      </c>
      <c r="F28" s="14" t="s">
        <v>257</v>
      </c>
      <c r="G28" s="14" t="s">
        <v>258</v>
      </c>
      <c r="H28" s="14"/>
      <c r="I28" s="13" t="s">
        <v>63</v>
      </c>
      <c r="J28" s="13"/>
      <c r="K28" s="14"/>
    </row>
    <row r="29" ht="15" customHeight="1" spans="1:11" x14ac:dyDescent="0.25">
      <c r="A29" s="13" t="s">
        <v>259</v>
      </c>
      <c r="B29" s="13" t="s">
        <v>189</v>
      </c>
      <c r="C29" s="13" t="s">
        <v>76</v>
      </c>
      <c r="D29" s="13" t="s">
        <v>134</v>
      </c>
      <c r="E29" s="13" t="s">
        <v>155</v>
      </c>
      <c r="F29" s="14" t="s">
        <v>260</v>
      </c>
      <c r="G29" s="14" t="s">
        <v>261</v>
      </c>
      <c r="H29" s="14" t="s">
        <v>262</v>
      </c>
      <c r="I29" s="15" t="s">
        <v>58</v>
      </c>
      <c r="J29" s="13"/>
      <c r="K29" s="14"/>
    </row>
    <row r="30" ht="23.25" customHeight="1" spans="1:11" x14ac:dyDescent="0.25">
      <c r="A30" s="13" t="s">
        <v>263</v>
      </c>
      <c r="B30" s="13" t="s">
        <v>189</v>
      </c>
      <c r="C30" s="13" t="s">
        <v>76</v>
      </c>
      <c r="D30" s="13" t="s">
        <v>134</v>
      </c>
      <c r="E30" s="13" t="s">
        <v>155</v>
      </c>
      <c r="F30" s="14" t="s">
        <v>264</v>
      </c>
      <c r="G30" s="14" t="s">
        <v>265</v>
      </c>
      <c r="H30" s="14"/>
      <c r="I30" s="13" t="s">
        <v>63</v>
      </c>
      <c r="J30" s="13"/>
      <c r="K30" s="14"/>
    </row>
    <row r="31" ht="15" customHeight="1" spans="1:11" x14ac:dyDescent="0.25">
      <c r="A31" s="13" t="s">
        <v>266</v>
      </c>
      <c r="B31" s="13" t="s">
        <v>189</v>
      </c>
      <c r="C31" s="13" t="s">
        <v>76</v>
      </c>
      <c r="D31" s="13" t="s">
        <v>134</v>
      </c>
      <c r="E31" s="13" t="s">
        <v>155</v>
      </c>
      <c r="F31" s="14" t="s">
        <v>267</v>
      </c>
      <c r="G31" s="14" t="s">
        <v>268</v>
      </c>
      <c r="H31" s="14" t="s">
        <v>269</v>
      </c>
      <c r="I31" s="15" t="s">
        <v>58</v>
      </c>
      <c r="J31" s="13"/>
      <c r="K31" s="14"/>
    </row>
    <row r="32" ht="23.25" customHeight="1" spans="1:11" x14ac:dyDescent="0.25">
      <c r="A32" s="13" t="s">
        <v>270</v>
      </c>
      <c r="B32" s="13" t="s">
        <v>189</v>
      </c>
      <c r="C32" s="13" t="s">
        <v>76</v>
      </c>
      <c r="D32" s="13" t="s">
        <v>134</v>
      </c>
      <c r="E32" s="13" t="s">
        <v>271</v>
      </c>
      <c r="F32" s="14" t="s">
        <v>272</v>
      </c>
      <c r="G32" s="14" t="s">
        <v>273</v>
      </c>
      <c r="H32" s="14"/>
      <c r="I32" s="13" t="s">
        <v>63</v>
      </c>
      <c r="J32" s="13"/>
      <c r="K32" s="14"/>
    </row>
    <row r="33" ht="15" customHeight="1" spans="1:11" x14ac:dyDescent="0.25">
      <c r="A33" s="13" t="s">
        <v>274</v>
      </c>
      <c r="B33" s="13" t="s">
        <v>275</v>
      </c>
      <c r="C33" s="13" t="s">
        <v>76</v>
      </c>
      <c r="D33" s="13" t="s">
        <v>134</v>
      </c>
      <c r="E33" s="13" t="s">
        <v>155</v>
      </c>
      <c r="F33" s="14" t="s">
        <v>276</v>
      </c>
      <c r="G33" s="14" t="s">
        <v>277</v>
      </c>
      <c r="H33" s="14" t="s">
        <v>278</v>
      </c>
      <c r="I33" s="17" t="s">
        <v>59</v>
      </c>
      <c r="J33" s="13" t="s">
        <v>69</v>
      </c>
      <c r="K33" s="14" t="s">
        <v>279</v>
      </c>
    </row>
    <row r="34" ht="23.25" customHeight="1" spans="1:11" x14ac:dyDescent="0.25">
      <c r="A34" s="13" t="s">
        <v>280</v>
      </c>
      <c r="B34" s="13" t="s">
        <v>189</v>
      </c>
      <c r="C34" s="13" t="s">
        <v>76</v>
      </c>
      <c r="D34" s="13" t="s">
        <v>134</v>
      </c>
      <c r="E34" s="13" t="s">
        <v>271</v>
      </c>
      <c r="F34" s="14" t="s">
        <v>281</v>
      </c>
      <c r="G34" s="14" t="s">
        <v>282</v>
      </c>
      <c r="H34" s="14" t="s">
        <v>283</v>
      </c>
      <c r="I34" s="15" t="s">
        <v>58</v>
      </c>
      <c r="J34" s="13" t="s">
        <v>71</v>
      </c>
      <c r="K34" s="14" t="s">
        <v>284</v>
      </c>
    </row>
    <row r="35" ht="23.25" customHeight="1" spans="1:11" x14ac:dyDescent="0.25">
      <c r="A35" s="13" t="s">
        <v>285</v>
      </c>
      <c r="B35" s="13" t="s">
        <v>189</v>
      </c>
      <c r="C35" s="13" t="s">
        <v>76</v>
      </c>
      <c r="D35" s="13" t="s">
        <v>134</v>
      </c>
      <c r="E35" s="13" t="s">
        <v>271</v>
      </c>
      <c r="F35" s="14" t="s">
        <v>286</v>
      </c>
      <c r="G35" s="14" t="s">
        <v>287</v>
      </c>
      <c r="H35" s="14"/>
      <c r="I35" s="13" t="s">
        <v>63</v>
      </c>
      <c r="J35" s="13"/>
      <c r="K35" s="14"/>
    </row>
    <row r="36" ht="23.25" customHeight="1" spans="1:11" x14ac:dyDescent="0.25">
      <c r="A36" s="13" t="s">
        <v>288</v>
      </c>
      <c r="B36" s="13" t="s">
        <v>189</v>
      </c>
      <c r="C36" s="13" t="s">
        <v>76</v>
      </c>
      <c r="D36" s="13" t="s">
        <v>134</v>
      </c>
      <c r="E36" s="13" t="s">
        <v>271</v>
      </c>
      <c r="F36" s="14" t="s">
        <v>289</v>
      </c>
      <c r="G36" s="14" t="s">
        <v>290</v>
      </c>
      <c r="H36" s="14" t="s">
        <v>291</v>
      </c>
      <c r="I36" s="15" t="s">
        <v>58</v>
      </c>
      <c r="J36" s="13"/>
      <c r="K36" s="14" t="s">
        <v>292</v>
      </c>
    </row>
    <row r="37" ht="23.25" customHeight="1" spans="1:11" x14ac:dyDescent="0.25">
      <c r="A37" s="13" t="s">
        <v>293</v>
      </c>
      <c r="B37" s="13" t="s">
        <v>189</v>
      </c>
      <c r="C37" s="13" t="s">
        <v>76</v>
      </c>
      <c r="D37" s="13" t="s">
        <v>134</v>
      </c>
      <c r="E37" s="13" t="s">
        <v>155</v>
      </c>
      <c r="F37" s="14" t="s">
        <v>294</v>
      </c>
      <c r="G37" s="14" t="s">
        <v>295</v>
      </c>
      <c r="H37" s="14" t="s">
        <v>296</v>
      </c>
      <c r="I37" s="16" t="s">
        <v>62</v>
      </c>
      <c r="J37" s="13" t="s">
        <v>69</v>
      </c>
      <c r="K37" s="14" t="s">
        <v>297</v>
      </c>
    </row>
    <row r="38" ht="23.25" customHeight="1" spans="1:11" x14ac:dyDescent="0.25">
      <c r="A38" s="13" t="s">
        <v>298</v>
      </c>
      <c r="B38" s="13" t="s">
        <v>189</v>
      </c>
      <c r="C38" s="13" t="s">
        <v>76</v>
      </c>
      <c r="D38" s="13" t="s">
        <v>134</v>
      </c>
      <c r="E38" s="13" t="s">
        <v>271</v>
      </c>
      <c r="F38" s="14" t="s">
        <v>299</v>
      </c>
      <c r="G38" s="14" t="s">
        <v>300</v>
      </c>
      <c r="H38" s="14"/>
      <c r="I38" s="13" t="s">
        <v>63</v>
      </c>
      <c r="J38" s="13"/>
      <c r="K38" s="14"/>
    </row>
    <row r="39" ht="23.25" customHeight="1" spans="1:11" x14ac:dyDescent="0.25">
      <c r="A39" s="13" t="s">
        <v>301</v>
      </c>
      <c r="B39" s="13" t="s">
        <v>189</v>
      </c>
      <c r="C39" s="13" t="s">
        <v>76</v>
      </c>
      <c r="D39" s="13" t="s">
        <v>134</v>
      </c>
      <c r="E39" s="13" t="s">
        <v>271</v>
      </c>
      <c r="F39" s="14" t="s">
        <v>302</v>
      </c>
      <c r="G39" s="14" t="s">
        <v>303</v>
      </c>
      <c r="H39" s="14"/>
      <c r="I39" s="13" t="s">
        <v>63</v>
      </c>
      <c r="J39" s="13"/>
      <c r="K39" s="14"/>
    </row>
    <row r="40" ht="23.25" customHeight="1" spans="1:11" x14ac:dyDescent="0.25">
      <c r="A40" s="13" t="s">
        <v>304</v>
      </c>
      <c r="B40" s="13" t="s">
        <v>189</v>
      </c>
      <c r="C40" s="13" t="s">
        <v>76</v>
      </c>
      <c r="D40" s="13" t="s">
        <v>134</v>
      </c>
      <c r="E40" s="13" t="s">
        <v>271</v>
      </c>
      <c r="F40" s="14" t="s">
        <v>305</v>
      </c>
      <c r="G40" s="14" t="s">
        <v>306</v>
      </c>
      <c r="H40" s="14"/>
      <c r="I40" s="13" t="s">
        <v>63</v>
      </c>
      <c r="J40" s="13"/>
      <c r="K40" s="14"/>
    </row>
    <row r="41" ht="15" customHeight="1" spans="1:11" x14ac:dyDescent="0.25">
      <c r="A41" s="13" t="s">
        <v>307</v>
      </c>
      <c r="B41" s="13" t="s">
        <v>154</v>
      </c>
      <c r="C41" s="13" t="s">
        <v>77</v>
      </c>
      <c r="D41" s="13" t="s">
        <v>308</v>
      </c>
      <c r="E41" s="13" t="s">
        <v>162</v>
      </c>
      <c r="F41" s="14" t="s">
        <v>309</v>
      </c>
      <c r="G41" s="14" t="s">
        <v>310</v>
      </c>
      <c r="H41" s="14" t="s">
        <v>311</v>
      </c>
      <c r="I41" s="15" t="s">
        <v>58</v>
      </c>
      <c r="J41" s="13"/>
      <c r="K41" s="14" t="s">
        <v>312</v>
      </c>
    </row>
    <row r="42" ht="15" customHeight="1" spans="1:11" x14ac:dyDescent="0.25">
      <c r="A42" s="13" t="s">
        <v>313</v>
      </c>
      <c r="B42" s="13" t="s">
        <v>154</v>
      </c>
      <c r="C42" s="13" t="s">
        <v>77</v>
      </c>
      <c r="D42" s="13" t="s">
        <v>308</v>
      </c>
      <c r="E42" s="13" t="s">
        <v>162</v>
      </c>
      <c r="F42" s="14" t="s">
        <v>314</v>
      </c>
      <c r="G42" s="14" t="s">
        <v>315</v>
      </c>
      <c r="H42" s="14" t="s">
        <v>316</v>
      </c>
      <c r="I42" s="15" t="s">
        <v>58</v>
      </c>
      <c r="J42" s="13"/>
      <c r="K42" s="14"/>
    </row>
    <row r="43" ht="23.25" customHeight="1" spans="1:11" x14ac:dyDescent="0.25">
      <c r="A43" s="13" t="s">
        <v>317</v>
      </c>
      <c r="B43" s="13" t="s">
        <v>154</v>
      </c>
      <c r="C43" s="13" t="s">
        <v>77</v>
      </c>
      <c r="D43" s="13" t="s">
        <v>308</v>
      </c>
      <c r="E43" s="13" t="s">
        <v>318</v>
      </c>
      <c r="F43" s="14" t="s">
        <v>319</v>
      </c>
      <c r="G43" s="14" t="s">
        <v>320</v>
      </c>
      <c r="H43" s="14" t="s">
        <v>321</v>
      </c>
      <c r="I43" s="16" t="s">
        <v>62</v>
      </c>
      <c r="J43" s="13"/>
      <c r="K43" s="14" t="s">
        <v>322</v>
      </c>
    </row>
    <row r="44" ht="15" customHeight="1" spans="1:11" x14ac:dyDescent="0.25">
      <c r="A44" s="13" t="s">
        <v>323</v>
      </c>
      <c r="B44" s="13" t="s">
        <v>154</v>
      </c>
      <c r="C44" s="13" t="s">
        <v>77</v>
      </c>
      <c r="D44" s="13" t="s">
        <v>308</v>
      </c>
      <c r="E44" s="13" t="s">
        <v>318</v>
      </c>
      <c r="F44" s="14" t="s">
        <v>324</v>
      </c>
      <c r="G44" s="14" t="s">
        <v>325</v>
      </c>
      <c r="H44" s="14" t="s">
        <v>326</v>
      </c>
      <c r="I44" s="15" t="s">
        <v>58</v>
      </c>
      <c r="J44" s="13"/>
      <c r="K44" s="14"/>
    </row>
    <row r="45" ht="15" customHeight="1" spans="1:11" x14ac:dyDescent="0.25">
      <c r="A45" s="13" t="s">
        <v>327</v>
      </c>
      <c r="B45" s="13" t="s">
        <v>154</v>
      </c>
      <c r="C45" s="13" t="s">
        <v>77</v>
      </c>
      <c r="D45" s="13" t="s">
        <v>308</v>
      </c>
      <c r="E45" s="13" t="s">
        <v>318</v>
      </c>
      <c r="F45" s="14" t="s">
        <v>328</v>
      </c>
      <c r="G45" s="14" t="s">
        <v>329</v>
      </c>
      <c r="H45" s="14" t="s">
        <v>330</v>
      </c>
      <c r="I45" s="15" t="s">
        <v>58</v>
      </c>
      <c r="J45" s="13"/>
      <c r="K45" s="14"/>
    </row>
    <row r="46" ht="23.25" customHeight="1" spans="1:11" x14ac:dyDescent="0.25">
      <c r="A46" s="13" t="s">
        <v>331</v>
      </c>
      <c r="B46" s="13" t="s">
        <v>154</v>
      </c>
      <c r="C46" s="13" t="s">
        <v>77</v>
      </c>
      <c r="D46" s="13" t="s">
        <v>308</v>
      </c>
      <c r="E46" s="13" t="s">
        <v>318</v>
      </c>
      <c r="F46" s="14" t="s">
        <v>332</v>
      </c>
      <c r="G46" s="14" t="s">
        <v>333</v>
      </c>
      <c r="H46" s="14" t="s">
        <v>334</v>
      </c>
      <c r="I46" s="16" t="s">
        <v>62</v>
      </c>
      <c r="J46" s="13"/>
      <c r="K46" s="14" t="s">
        <v>335</v>
      </c>
    </row>
    <row r="47" ht="23.25" customHeight="1" spans="1:11" x14ac:dyDescent="0.25">
      <c r="A47" s="13" t="s">
        <v>336</v>
      </c>
      <c r="B47" s="13" t="s">
        <v>154</v>
      </c>
      <c r="C47" s="13" t="s">
        <v>77</v>
      </c>
      <c r="D47" s="13" t="s">
        <v>178</v>
      </c>
      <c r="E47" s="13" t="s">
        <v>162</v>
      </c>
      <c r="F47" s="14" t="s">
        <v>337</v>
      </c>
      <c r="G47" s="14" t="s">
        <v>338</v>
      </c>
      <c r="H47" s="14" t="s">
        <v>339</v>
      </c>
      <c r="I47" s="15" t="s">
        <v>58</v>
      </c>
      <c r="J47" s="13"/>
      <c r="K47" s="14"/>
    </row>
    <row r="48" ht="23.25" customHeight="1" spans="1:11" x14ac:dyDescent="0.25">
      <c r="A48" s="13" t="s">
        <v>340</v>
      </c>
      <c r="B48" s="13" t="s">
        <v>154</v>
      </c>
      <c r="C48" s="13" t="s">
        <v>77</v>
      </c>
      <c r="D48" s="13" t="s">
        <v>178</v>
      </c>
      <c r="E48" s="13" t="s">
        <v>162</v>
      </c>
      <c r="F48" s="14" t="s">
        <v>341</v>
      </c>
      <c r="G48" s="14" t="s">
        <v>342</v>
      </c>
      <c r="H48" s="14" t="s">
        <v>343</v>
      </c>
      <c r="I48" s="15" t="s">
        <v>58</v>
      </c>
      <c r="J48" s="13"/>
      <c r="K48" s="14" t="s">
        <v>344</v>
      </c>
    </row>
    <row r="49" ht="15" customHeight="1" spans="1:11" x14ac:dyDescent="0.25">
      <c r="A49" s="13" t="s">
        <v>345</v>
      </c>
      <c r="B49" s="13" t="s">
        <v>154</v>
      </c>
      <c r="C49" s="13" t="s">
        <v>77</v>
      </c>
      <c r="D49" s="13" t="s">
        <v>178</v>
      </c>
      <c r="E49" s="13" t="s">
        <v>162</v>
      </c>
      <c r="F49" s="14" t="s">
        <v>346</v>
      </c>
      <c r="G49" s="14" t="s">
        <v>347</v>
      </c>
      <c r="H49" s="14" t="s">
        <v>348</v>
      </c>
      <c r="I49" s="15" t="s">
        <v>58</v>
      </c>
      <c r="J49" s="13"/>
      <c r="K49" s="14"/>
    </row>
    <row r="50" ht="23.25" customHeight="1" spans="1:11" x14ac:dyDescent="0.25">
      <c r="A50" s="13" t="s">
        <v>349</v>
      </c>
      <c r="B50" s="13" t="s">
        <v>154</v>
      </c>
      <c r="C50" s="13" t="s">
        <v>77</v>
      </c>
      <c r="D50" s="13" t="s">
        <v>178</v>
      </c>
      <c r="E50" s="13" t="s">
        <v>162</v>
      </c>
      <c r="F50" s="14" t="s">
        <v>350</v>
      </c>
      <c r="G50" s="14" t="s">
        <v>351</v>
      </c>
      <c r="H50" s="14" t="s">
        <v>352</v>
      </c>
      <c r="I50" s="15" t="s">
        <v>58</v>
      </c>
      <c r="J50" s="13"/>
      <c r="K50" s="14"/>
    </row>
    <row r="51" ht="23.25" customHeight="1" spans="1:11" x14ac:dyDescent="0.25">
      <c r="A51" s="13" t="s">
        <v>353</v>
      </c>
      <c r="B51" s="13" t="s">
        <v>154</v>
      </c>
      <c r="C51" s="13" t="s">
        <v>77</v>
      </c>
      <c r="D51" s="13" t="s">
        <v>178</v>
      </c>
      <c r="E51" s="13" t="s">
        <v>162</v>
      </c>
      <c r="F51" s="14" t="s">
        <v>354</v>
      </c>
      <c r="G51" s="14" t="s">
        <v>355</v>
      </c>
      <c r="H51" s="14" t="s">
        <v>356</v>
      </c>
      <c r="I51" s="15" t="s">
        <v>58</v>
      </c>
      <c r="J51" s="13"/>
      <c r="K51" s="14" t="s">
        <v>357</v>
      </c>
    </row>
    <row r="52" ht="23.25" customHeight="1" spans="1:11" x14ac:dyDescent="0.25">
      <c r="A52" s="13" t="s">
        <v>358</v>
      </c>
      <c r="B52" s="13" t="s">
        <v>154</v>
      </c>
      <c r="C52" s="13" t="s">
        <v>77</v>
      </c>
      <c r="D52" s="13" t="s">
        <v>178</v>
      </c>
      <c r="E52" s="13" t="s">
        <v>155</v>
      </c>
      <c r="F52" s="14" t="s">
        <v>359</v>
      </c>
      <c r="G52" s="14" t="s">
        <v>360</v>
      </c>
      <c r="H52" s="14" t="s">
        <v>361</v>
      </c>
      <c r="I52" s="15" t="s">
        <v>58</v>
      </c>
      <c r="J52" s="13"/>
      <c r="K52" s="14" t="s">
        <v>362</v>
      </c>
    </row>
    <row r="53" ht="15" customHeight="1" spans="1:11" x14ac:dyDescent="0.25">
      <c r="A53" s="13" t="s">
        <v>363</v>
      </c>
      <c r="B53" s="13" t="s">
        <v>154</v>
      </c>
      <c r="C53" s="13" t="s">
        <v>77</v>
      </c>
      <c r="D53" s="13" t="s">
        <v>178</v>
      </c>
      <c r="E53" s="13" t="s">
        <v>155</v>
      </c>
      <c r="F53" s="14" t="s">
        <v>364</v>
      </c>
      <c r="G53" s="14" t="s">
        <v>365</v>
      </c>
      <c r="H53" s="14" t="s">
        <v>366</v>
      </c>
      <c r="I53" s="15" t="s">
        <v>58</v>
      </c>
      <c r="J53" s="13"/>
      <c r="K53" s="14"/>
    </row>
    <row r="54" ht="23.25" customHeight="1" spans="1:11" x14ac:dyDescent="0.25">
      <c r="A54" s="13" t="s">
        <v>367</v>
      </c>
      <c r="B54" s="13" t="s">
        <v>154</v>
      </c>
      <c r="C54" s="13" t="s">
        <v>77</v>
      </c>
      <c r="D54" s="13" t="s">
        <v>178</v>
      </c>
      <c r="E54" s="13" t="s">
        <v>162</v>
      </c>
      <c r="F54" s="14" t="s">
        <v>368</v>
      </c>
      <c r="G54" s="14" t="s">
        <v>369</v>
      </c>
      <c r="H54" s="14" t="s">
        <v>370</v>
      </c>
      <c r="I54" s="17" t="s">
        <v>59</v>
      </c>
      <c r="J54" s="13" t="s">
        <v>68</v>
      </c>
      <c r="K54" s="14" t="s">
        <v>371</v>
      </c>
    </row>
    <row r="55" ht="23.25" customHeight="1" spans="1:11" x14ac:dyDescent="0.25">
      <c r="A55" s="13" t="s">
        <v>372</v>
      </c>
      <c r="B55" s="13" t="s">
        <v>154</v>
      </c>
      <c r="C55" s="13" t="s">
        <v>77</v>
      </c>
      <c r="D55" s="13" t="s">
        <v>178</v>
      </c>
      <c r="E55" s="13" t="s">
        <v>162</v>
      </c>
      <c r="F55" s="14" t="s">
        <v>373</v>
      </c>
      <c r="G55" s="14" t="s">
        <v>374</v>
      </c>
      <c r="H55" s="14" t="s">
        <v>375</v>
      </c>
      <c r="I55" s="16" t="s">
        <v>60</v>
      </c>
      <c r="J55" s="13"/>
      <c r="K55" s="14" t="s">
        <v>376</v>
      </c>
    </row>
    <row r="56" ht="23.25" customHeight="1" spans="1:11" x14ac:dyDescent="0.25">
      <c r="A56" s="13" t="s">
        <v>377</v>
      </c>
      <c r="B56" s="13" t="s">
        <v>154</v>
      </c>
      <c r="C56" s="13" t="s">
        <v>77</v>
      </c>
      <c r="D56" s="13" t="s">
        <v>178</v>
      </c>
      <c r="E56" s="13" t="s">
        <v>162</v>
      </c>
      <c r="F56" s="14" t="s">
        <v>378</v>
      </c>
      <c r="G56" s="14" t="s">
        <v>379</v>
      </c>
      <c r="H56" s="14" t="s">
        <v>375</v>
      </c>
      <c r="I56" s="16" t="s">
        <v>60</v>
      </c>
      <c r="J56" s="13"/>
      <c r="K56" s="14" t="s">
        <v>376</v>
      </c>
    </row>
    <row r="57" ht="23.25" customHeight="1" spans="1:11" x14ac:dyDescent="0.25">
      <c r="A57" s="13" t="s">
        <v>380</v>
      </c>
      <c r="B57" s="13" t="s">
        <v>154</v>
      </c>
      <c r="C57" s="13" t="s">
        <v>77</v>
      </c>
      <c r="D57" s="13" t="s">
        <v>178</v>
      </c>
      <c r="E57" s="13" t="s">
        <v>155</v>
      </c>
      <c r="F57" s="14" t="s">
        <v>381</v>
      </c>
      <c r="G57" s="14" t="s">
        <v>382</v>
      </c>
      <c r="H57" s="14" t="s">
        <v>375</v>
      </c>
      <c r="I57" s="16" t="s">
        <v>60</v>
      </c>
      <c r="J57" s="13"/>
      <c r="K57" s="14" t="s">
        <v>376</v>
      </c>
    </row>
    <row r="58" ht="23.25" customHeight="1" spans="1:11" x14ac:dyDescent="0.25">
      <c r="A58" s="13" t="s">
        <v>383</v>
      </c>
      <c r="B58" s="13" t="s">
        <v>154</v>
      </c>
      <c r="C58" s="13" t="s">
        <v>77</v>
      </c>
      <c r="D58" s="13" t="s">
        <v>134</v>
      </c>
      <c r="E58" s="13" t="s">
        <v>162</v>
      </c>
      <c r="F58" s="14" t="s">
        <v>384</v>
      </c>
      <c r="G58" s="14" t="s">
        <v>385</v>
      </c>
      <c r="H58" s="14" t="s">
        <v>386</v>
      </c>
      <c r="I58" s="16" t="s">
        <v>62</v>
      </c>
      <c r="J58" s="13"/>
      <c r="K58" s="14" t="s">
        <v>387</v>
      </c>
    </row>
    <row r="59" ht="23.25" customHeight="1" spans="1:11" x14ac:dyDescent="0.25">
      <c r="A59" s="13" t="s">
        <v>388</v>
      </c>
      <c r="B59" s="13" t="s">
        <v>389</v>
      </c>
      <c r="C59" s="13" t="s">
        <v>77</v>
      </c>
      <c r="D59" s="13" t="s">
        <v>390</v>
      </c>
      <c r="E59" s="13" t="s">
        <v>391</v>
      </c>
      <c r="F59" s="14" t="s">
        <v>392</v>
      </c>
      <c r="G59" s="14" t="s">
        <v>393</v>
      </c>
      <c r="H59" s="14" t="s">
        <v>394</v>
      </c>
      <c r="I59" s="15" t="s">
        <v>58</v>
      </c>
      <c r="J59" s="13"/>
      <c r="K59" s="14" t="s">
        <v>395</v>
      </c>
    </row>
    <row r="60" ht="23.25" customHeight="1" spans="1:11" x14ac:dyDescent="0.25">
      <c r="A60" s="13" t="s">
        <v>396</v>
      </c>
      <c r="B60" s="13" t="s">
        <v>154</v>
      </c>
      <c r="C60" s="13" t="s">
        <v>77</v>
      </c>
      <c r="D60" s="13" t="s">
        <v>178</v>
      </c>
      <c r="E60" s="13" t="s">
        <v>162</v>
      </c>
      <c r="F60" s="14" t="s">
        <v>397</v>
      </c>
      <c r="G60" s="14" t="s">
        <v>398</v>
      </c>
      <c r="H60" s="14" t="s">
        <v>399</v>
      </c>
      <c r="I60" s="15" t="s">
        <v>58</v>
      </c>
      <c r="J60" s="13"/>
      <c r="K60" s="14" t="s">
        <v>400</v>
      </c>
    </row>
    <row r="61" ht="23.25" customHeight="1" spans="1:11" x14ac:dyDescent="0.25">
      <c r="A61" s="13" t="s">
        <v>401</v>
      </c>
      <c r="B61" s="13" t="s">
        <v>154</v>
      </c>
      <c r="C61" s="13" t="s">
        <v>77</v>
      </c>
      <c r="D61" s="13" t="s">
        <v>178</v>
      </c>
      <c r="E61" s="13" t="s">
        <v>162</v>
      </c>
      <c r="F61" s="14" t="s">
        <v>402</v>
      </c>
      <c r="G61" s="14" t="s">
        <v>403</v>
      </c>
      <c r="H61" s="14" t="s">
        <v>404</v>
      </c>
      <c r="I61" s="15" t="s">
        <v>58</v>
      </c>
      <c r="J61" s="13"/>
      <c r="K61" s="14"/>
    </row>
    <row r="62" ht="23.25" customHeight="1" spans="1:11" x14ac:dyDescent="0.25">
      <c r="A62" s="13" t="s">
        <v>405</v>
      </c>
      <c r="B62" s="13" t="s">
        <v>406</v>
      </c>
      <c r="C62" s="13" t="s">
        <v>78</v>
      </c>
      <c r="D62" s="13" t="s">
        <v>178</v>
      </c>
      <c r="E62" s="13" t="s">
        <v>162</v>
      </c>
      <c r="F62" s="14" t="s">
        <v>407</v>
      </c>
      <c r="G62" s="14" t="s">
        <v>408</v>
      </c>
      <c r="H62" s="14"/>
      <c r="I62" s="13" t="s">
        <v>63</v>
      </c>
      <c r="J62" s="13"/>
      <c r="K62" s="14"/>
    </row>
    <row r="63" ht="23.25" customHeight="1" spans="1:11" x14ac:dyDescent="0.25">
      <c r="A63" s="13" t="s">
        <v>45</v>
      </c>
      <c r="B63" s="13" t="s">
        <v>406</v>
      </c>
      <c r="C63" s="13" t="s">
        <v>78</v>
      </c>
      <c r="D63" s="13" t="s">
        <v>178</v>
      </c>
      <c r="E63" s="13" t="s">
        <v>162</v>
      </c>
      <c r="F63" s="14" t="s">
        <v>409</v>
      </c>
      <c r="G63" s="14" t="s">
        <v>410</v>
      </c>
      <c r="H63" s="14" t="s">
        <v>411</v>
      </c>
      <c r="I63" s="13" t="s">
        <v>63</v>
      </c>
      <c r="J63" s="13"/>
      <c r="K63" s="14" t="s">
        <v>412</v>
      </c>
    </row>
    <row r="64" ht="23.25" customHeight="1" spans="1:11" x14ac:dyDescent="0.25">
      <c r="A64" s="13" t="s">
        <v>413</v>
      </c>
      <c r="B64" s="13" t="s">
        <v>406</v>
      </c>
      <c r="C64" s="13" t="s">
        <v>78</v>
      </c>
      <c r="D64" s="13" t="s">
        <v>134</v>
      </c>
      <c r="E64" s="13" t="s">
        <v>162</v>
      </c>
      <c r="F64" s="14" t="s">
        <v>414</v>
      </c>
      <c r="G64" s="14" t="s">
        <v>415</v>
      </c>
      <c r="H64" s="14" t="s">
        <v>416</v>
      </c>
      <c r="I64" s="15" t="s">
        <v>58</v>
      </c>
      <c r="J64" s="13"/>
      <c r="K64" s="14" t="s">
        <v>417</v>
      </c>
    </row>
    <row r="65" ht="23.25" customHeight="1" spans="1:11" x14ac:dyDescent="0.25">
      <c r="A65" s="13" t="s">
        <v>418</v>
      </c>
      <c r="B65" s="13" t="s">
        <v>406</v>
      </c>
      <c r="C65" s="13" t="s">
        <v>78</v>
      </c>
      <c r="D65" s="13" t="s">
        <v>134</v>
      </c>
      <c r="E65" s="13" t="s">
        <v>162</v>
      </c>
      <c r="F65" s="14" t="s">
        <v>419</v>
      </c>
      <c r="G65" s="14" t="s">
        <v>420</v>
      </c>
      <c r="H65" s="14"/>
      <c r="I65" s="13" t="s">
        <v>63</v>
      </c>
      <c r="J65" s="13"/>
      <c r="K65" s="14"/>
    </row>
    <row r="66" ht="15" customHeight="1" spans="1:11" x14ac:dyDescent="0.25">
      <c r="A66" s="13" t="s">
        <v>421</v>
      </c>
      <c r="B66" s="13" t="s">
        <v>406</v>
      </c>
      <c r="C66" s="13" t="s">
        <v>78</v>
      </c>
      <c r="D66" s="13" t="s">
        <v>161</v>
      </c>
      <c r="E66" s="13" t="s">
        <v>162</v>
      </c>
      <c r="F66" s="14" t="s">
        <v>422</v>
      </c>
      <c r="G66" s="14" t="s">
        <v>423</v>
      </c>
      <c r="H66" s="14" t="s">
        <v>424</v>
      </c>
      <c r="I66" s="15" t="s">
        <v>58</v>
      </c>
      <c r="J66" s="13"/>
      <c r="K66" s="14"/>
    </row>
    <row r="67" ht="15" customHeight="1" spans="1:11" x14ac:dyDescent="0.25">
      <c r="A67" s="13" t="s">
        <v>425</v>
      </c>
      <c r="B67" s="13" t="s">
        <v>406</v>
      </c>
      <c r="C67" s="13" t="s">
        <v>78</v>
      </c>
      <c r="D67" s="13" t="s">
        <v>161</v>
      </c>
      <c r="E67" s="13" t="s">
        <v>162</v>
      </c>
      <c r="F67" s="14" t="s">
        <v>426</v>
      </c>
      <c r="G67" s="14" t="s">
        <v>427</v>
      </c>
      <c r="H67" s="14" t="s">
        <v>428</v>
      </c>
      <c r="I67" s="13" t="s">
        <v>63</v>
      </c>
      <c r="J67" s="13"/>
      <c r="K67" s="14"/>
    </row>
    <row r="68" ht="23.25" customHeight="1" spans="1:11" x14ac:dyDescent="0.25">
      <c r="A68" s="13" t="s">
        <v>429</v>
      </c>
      <c r="B68" s="13" t="s">
        <v>406</v>
      </c>
      <c r="C68" s="13" t="s">
        <v>78</v>
      </c>
      <c r="D68" s="13" t="s">
        <v>178</v>
      </c>
      <c r="E68" s="13" t="s">
        <v>155</v>
      </c>
      <c r="F68" s="14" t="s">
        <v>430</v>
      </c>
      <c r="G68" s="14" t="s">
        <v>431</v>
      </c>
      <c r="H68" s="14"/>
      <c r="I68" s="13" t="s">
        <v>63</v>
      </c>
      <c r="J68" s="13"/>
      <c r="K68" s="14"/>
    </row>
    <row r="69" ht="23.25" customHeight="1" spans="1:11" x14ac:dyDescent="0.25">
      <c r="A69" s="13" t="s">
        <v>432</v>
      </c>
      <c r="B69" s="13" t="s">
        <v>406</v>
      </c>
      <c r="C69" s="13" t="s">
        <v>78</v>
      </c>
      <c r="D69" s="13" t="s">
        <v>178</v>
      </c>
      <c r="E69" s="13" t="s">
        <v>271</v>
      </c>
      <c r="F69" s="14" t="s">
        <v>433</v>
      </c>
      <c r="G69" s="14" t="s">
        <v>434</v>
      </c>
      <c r="H69" s="14"/>
      <c r="I69" s="13" t="s">
        <v>63</v>
      </c>
      <c r="J69" s="13"/>
      <c r="K69" s="14"/>
    </row>
    <row r="70" ht="23.25" customHeight="1" spans="1:11" x14ac:dyDescent="0.25">
      <c r="A70" s="13" t="s">
        <v>435</v>
      </c>
      <c r="B70" s="13" t="s">
        <v>406</v>
      </c>
      <c r="C70" s="13" t="s">
        <v>78</v>
      </c>
      <c r="D70" s="13" t="s">
        <v>161</v>
      </c>
      <c r="E70" s="13" t="s">
        <v>162</v>
      </c>
      <c r="F70" s="14" t="s">
        <v>436</v>
      </c>
      <c r="G70" s="14" t="s">
        <v>437</v>
      </c>
      <c r="H70" s="14"/>
      <c r="I70" s="13" t="s">
        <v>63</v>
      </c>
      <c r="J70" s="13"/>
      <c r="K70" s="14"/>
    </row>
    <row r="71" ht="15" customHeight="1" spans="1:11" x14ac:dyDescent="0.25">
      <c r="A71" s="13" t="s">
        <v>438</v>
      </c>
      <c r="B71" s="13" t="s">
        <v>439</v>
      </c>
      <c r="C71" s="13" t="s">
        <v>79</v>
      </c>
      <c r="D71" s="13" t="s">
        <v>183</v>
      </c>
      <c r="E71" s="13" t="s">
        <v>162</v>
      </c>
      <c r="F71" s="14" t="s">
        <v>440</v>
      </c>
      <c r="G71" s="14" t="s">
        <v>441</v>
      </c>
      <c r="H71" s="14" t="s">
        <v>442</v>
      </c>
      <c r="I71" s="15" t="s">
        <v>58</v>
      </c>
      <c r="J71" s="13"/>
      <c r="K71" s="14"/>
    </row>
    <row r="72" ht="23.25" customHeight="1" spans="1:11" x14ac:dyDescent="0.25">
      <c r="A72" s="13" t="s">
        <v>443</v>
      </c>
      <c r="B72" s="13" t="s">
        <v>439</v>
      </c>
      <c r="C72" s="13" t="s">
        <v>79</v>
      </c>
      <c r="D72" s="13" t="s">
        <v>183</v>
      </c>
      <c r="E72" s="13" t="s">
        <v>162</v>
      </c>
      <c r="F72" s="14" t="s">
        <v>444</v>
      </c>
      <c r="G72" s="14" t="s">
        <v>445</v>
      </c>
      <c r="H72" s="14" t="s">
        <v>446</v>
      </c>
      <c r="I72" s="15" t="s">
        <v>58</v>
      </c>
      <c r="J72" s="13"/>
      <c r="K72" s="14" t="s">
        <v>447</v>
      </c>
    </row>
    <row r="73" ht="15" customHeight="1" spans="1:11" x14ac:dyDescent="0.25">
      <c r="A73" s="13" t="s">
        <v>448</v>
      </c>
      <c r="B73" s="13" t="s">
        <v>439</v>
      </c>
      <c r="C73" s="13" t="s">
        <v>79</v>
      </c>
      <c r="D73" s="13" t="s">
        <v>183</v>
      </c>
      <c r="E73" s="13" t="s">
        <v>162</v>
      </c>
      <c r="F73" s="14" t="s">
        <v>449</v>
      </c>
      <c r="G73" s="14" t="s">
        <v>450</v>
      </c>
      <c r="H73" s="14" t="s">
        <v>451</v>
      </c>
      <c r="I73" s="15" t="s">
        <v>58</v>
      </c>
      <c r="J73" s="13"/>
      <c r="K73" s="14"/>
    </row>
    <row r="74" ht="15" customHeight="1" spans="1:11" x14ac:dyDescent="0.25">
      <c r="A74" s="13" t="s">
        <v>452</v>
      </c>
      <c r="B74" s="13" t="s">
        <v>439</v>
      </c>
      <c r="C74" s="13" t="s">
        <v>79</v>
      </c>
      <c r="D74" s="13" t="s">
        <v>183</v>
      </c>
      <c r="E74" s="13" t="s">
        <v>162</v>
      </c>
      <c r="F74" s="14" t="s">
        <v>453</v>
      </c>
      <c r="G74" s="14" t="s">
        <v>454</v>
      </c>
      <c r="H74" s="14" t="s">
        <v>455</v>
      </c>
      <c r="I74" s="15" t="s">
        <v>58</v>
      </c>
      <c r="J74" s="13"/>
      <c r="K74" s="14"/>
    </row>
    <row r="75" ht="15" customHeight="1" spans="1:11" x14ac:dyDescent="0.25">
      <c r="A75" s="13" t="s">
        <v>456</v>
      </c>
      <c r="B75" s="13" t="s">
        <v>439</v>
      </c>
      <c r="C75" s="13" t="s">
        <v>79</v>
      </c>
      <c r="D75" s="13" t="s">
        <v>183</v>
      </c>
      <c r="E75" s="13" t="s">
        <v>205</v>
      </c>
      <c r="F75" s="14" t="s">
        <v>457</v>
      </c>
      <c r="G75" s="14" t="s">
        <v>458</v>
      </c>
      <c r="H75" s="14" t="s">
        <v>459</v>
      </c>
      <c r="I75" s="15" t="s">
        <v>58</v>
      </c>
      <c r="J75" s="13"/>
      <c r="K75" s="14"/>
    </row>
    <row r="76" ht="23.25" customHeight="1" spans="1:11" x14ac:dyDescent="0.25">
      <c r="A76" s="13" t="s">
        <v>460</v>
      </c>
      <c r="B76" s="13" t="s">
        <v>439</v>
      </c>
      <c r="C76" s="13" t="s">
        <v>79</v>
      </c>
      <c r="D76" s="13" t="s">
        <v>183</v>
      </c>
      <c r="E76" s="13" t="s">
        <v>155</v>
      </c>
      <c r="F76" s="14" t="s">
        <v>461</v>
      </c>
      <c r="G76" s="14" t="s">
        <v>462</v>
      </c>
      <c r="H76" s="14" t="s">
        <v>463</v>
      </c>
      <c r="I76" s="15" t="s">
        <v>58</v>
      </c>
      <c r="J76" s="13" t="s">
        <v>69</v>
      </c>
      <c r="K76" s="14" t="s">
        <v>464</v>
      </c>
    </row>
    <row r="77" ht="15" customHeight="1" spans="1:11" x14ac:dyDescent="0.25">
      <c r="A77" s="13" t="s">
        <v>465</v>
      </c>
      <c r="B77" s="13" t="s">
        <v>439</v>
      </c>
      <c r="C77" s="13" t="s">
        <v>79</v>
      </c>
      <c r="D77" s="13" t="s">
        <v>183</v>
      </c>
      <c r="E77" s="13" t="s">
        <v>155</v>
      </c>
      <c r="F77" s="14" t="s">
        <v>466</v>
      </c>
      <c r="G77" s="14" t="s">
        <v>382</v>
      </c>
      <c r="H77" s="14" t="s">
        <v>467</v>
      </c>
      <c r="I77" s="15" t="s">
        <v>58</v>
      </c>
      <c r="J77" s="13" t="s">
        <v>69</v>
      </c>
      <c r="K77" s="14" t="s">
        <v>468</v>
      </c>
    </row>
    <row r="78" ht="15" customHeight="1" spans="1:11" x14ac:dyDescent="0.25">
      <c r="A78" s="13" t="s">
        <v>469</v>
      </c>
      <c r="B78" s="13" t="s">
        <v>439</v>
      </c>
      <c r="C78" s="13" t="s">
        <v>79</v>
      </c>
      <c r="D78" s="13" t="s">
        <v>183</v>
      </c>
      <c r="E78" s="13" t="s">
        <v>155</v>
      </c>
      <c r="F78" s="14" t="s">
        <v>470</v>
      </c>
      <c r="G78" s="14" t="s">
        <v>471</v>
      </c>
      <c r="H78" s="14" t="s">
        <v>472</v>
      </c>
      <c r="I78" s="15" t="s">
        <v>58</v>
      </c>
      <c r="J78" s="13"/>
      <c r="K78" s="14"/>
    </row>
    <row r="79" ht="15" customHeight="1" spans="1:11" x14ac:dyDescent="0.25">
      <c r="A79" s="13" t="s">
        <v>473</v>
      </c>
      <c r="B79" s="13" t="s">
        <v>439</v>
      </c>
      <c r="C79" s="13" t="s">
        <v>79</v>
      </c>
      <c r="D79" s="13" t="s">
        <v>183</v>
      </c>
      <c r="E79" s="13" t="s">
        <v>155</v>
      </c>
      <c r="F79" s="14" t="s">
        <v>474</v>
      </c>
      <c r="G79" s="14" t="s">
        <v>382</v>
      </c>
      <c r="H79" s="14" t="s">
        <v>475</v>
      </c>
      <c r="I79" s="15" t="s">
        <v>58</v>
      </c>
      <c r="J79" s="13"/>
      <c r="K79" s="14"/>
    </row>
    <row r="80" ht="15" customHeight="1" spans="1:11" x14ac:dyDescent="0.25">
      <c r="A80" s="13" t="s">
        <v>476</v>
      </c>
      <c r="B80" s="13" t="s">
        <v>439</v>
      </c>
      <c r="C80" s="13" t="s">
        <v>79</v>
      </c>
      <c r="D80" s="13" t="s">
        <v>183</v>
      </c>
      <c r="E80" s="13" t="s">
        <v>162</v>
      </c>
      <c r="F80" s="14" t="s">
        <v>477</v>
      </c>
      <c r="G80" s="14" t="s">
        <v>478</v>
      </c>
      <c r="H80" s="14" t="s">
        <v>479</v>
      </c>
      <c r="I80" s="15" t="s">
        <v>58</v>
      </c>
      <c r="J80" s="13"/>
      <c r="K80" s="14" t="s">
        <v>480</v>
      </c>
    </row>
    <row r="81" ht="15" customHeight="1" spans="1:11" x14ac:dyDescent="0.25">
      <c r="A81" s="13" t="s">
        <v>481</v>
      </c>
      <c r="B81" s="13" t="s">
        <v>439</v>
      </c>
      <c r="C81" s="13" t="s">
        <v>79</v>
      </c>
      <c r="D81" s="13" t="s">
        <v>183</v>
      </c>
      <c r="E81" s="13" t="s">
        <v>271</v>
      </c>
      <c r="F81" s="14" t="s">
        <v>482</v>
      </c>
      <c r="G81" s="14" t="s">
        <v>483</v>
      </c>
      <c r="H81" s="14"/>
      <c r="I81" s="13" t="s">
        <v>63</v>
      </c>
      <c r="J81" s="13"/>
      <c r="K81" s="14"/>
    </row>
    <row r="82" ht="23.25" customHeight="1" spans="1:11" x14ac:dyDescent="0.25">
      <c r="A82" s="13" t="s">
        <v>484</v>
      </c>
      <c r="B82" s="13" t="s">
        <v>439</v>
      </c>
      <c r="C82" s="13" t="s">
        <v>79</v>
      </c>
      <c r="D82" s="13" t="s">
        <v>183</v>
      </c>
      <c r="E82" s="13" t="s">
        <v>162</v>
      </c>
      <c r="F82" s="14" t="s">
        <v>485</v>
      </c>
      <c r="G82" s="14" t="s">
        <v>486</v>
      </c>
      <c r="H82" s="14" t="s">
        <v>487</v>
      </c>
      <c r="I82" s="15" t="s">
        <v>58</v>
      </c>
      <c r="J82" s="13"/>
      <c r="K82" s="14"/>
    </row>
    <row r="83" ht="15" customHeight="1" spans="1:11" x14ac:dyDescent="0.25">
      <c r="A83" s="13" t="s">
        <v>488</v>
      </c>
      <c r="B83" s="13" t="s">
        <v>489</v>
      </c>
      <c r="C83" s="13" t="s">
        <v>80</v>
      </c>
      <c r="D83" s="13" t="s">
        <v>183</v>
      </c>
      <c r="E83" s="13" t="s">
        <v>162</v>
      </c>
      <c r="F83" s="14" t="s">
        <v>490</v>
      </c>
      <c r="G83" s="14" t="s">
        <v>491</v>
      </c>
      <c r="H83" s="14"/>
      <c r="I83" s="13" t="s">
        <v>63</v>
      </c>
      <c r="J83" s="13"/>
      <c r="K83" s="14"/>
    </row>
    <row r="84" ht="23.25" customHeight="1" spans="1:11" x14ac:dyDescent="0.25">
      <c r="A84" s="13" t="s">
        <v>492</v>
      </c>
      <c r="B84" s="13" t="s">
        <v>489</v>
      </c>
      <c r="C84" s="13" t="s">
        <v>80</v>
      </c>
      <c r="D84" s="13" t="s">
        <v>183</v>
      </c>
      <c r="E84" s="13" t="s">
        <v>162</v>
      </c>
      <c r="F84" s="14" t="s">
        <v>493</v>
      </c>
      <c r="G84" s="14" t="s">
        <v>494</v>
      </c>
      <c r="H84" s="14"/>
      <c r="I84" s="13" t="s">
        <v>63</v>
      </c>
      <c r="J84" s="13"/>
      <c r="K84" s="14"/>
    </row>
    <row r="85" ht="15" customHeight="1" spans="1:11" x14ac:dyDescent="0.25">
      <c r="A85" s="13" t="s">
        <v>495</v>
      </c>
      <c r="B85" s="13" t="s">
        <v>489</v>
      </c>
      <c r="C85" s="13" t="s">
        <v>80</v>
      </c>
      <c r="D85" s="13" t="s">
        <v>183</v>
      </c>
      <c r="E85" s="13" t="s">
        <v>162</v>
      </c>
      <c r="F85" s="14" t="s">
        <v>496</v>
      </c>
      <c r="G85" s="14" t="s">
        <v>497</v>
      </c>
      <c r="H85" s="14" t="s">
        <v>498</v>
      </c>
      <c r="I85" s="16" t="s">
        <v>62</v>
      </c>
      <c r="J85" s="13"/>
      <c r="K85" s="14" t="s">
        <v>499</v>
      </c>
    </row>
    <row r="86" ht="15" customHeight="1" spans="1:11" x14ac:dyDescent="0.25">
      <c r="A86" s="13" t="s">
        <v>500</v>
      </c>
      <c r="B86" s="13" t="s">
        <v>489</v>
      </c>
      <c r="C86" s="13" t="s">
        <v>80</v>
      </c>
      <c r="D86" s="13" t="s">
        <v>183</v>
      </c>
      <c r="E86" s="13" t="s">
        <v>162</v>
      </c>
      <c r="F86" s="14" t="s">
        <v>501</v>
      </c>
      <c r="G86" s="14" t="s">
        <v>502</v>
      </c>
      <c r="H86" s="14" t="s">
        <v>503</v>
      </c>
      <c r="I86" s="15" t="s">
        <v>58</v>
      </c>
      <c r="J86" s="13"/>
      <c r="K86" s="14"/>
    </row>
    <row r="87" ht="23.25" customHeight="1" spans="1:11" x14ac:dyDescent="0.25">
      <c r="A87" s="13" t="s">
        <v>504</v>
      </c>
      <c r="B87" s="13" t="s">
        <v>489</v>
      </c>
      <c r="C87" s="13" t="s">
        <v>80</v>
      </c>
      <c r="D87" s="13" t="s">
        <v>183</v>
      </c>
      <c r="E87" s="13" t="s">
        <v>162</v>
      </c>
      <c r="F87" s="14" t="s">
        <v>505</v>
      </c>
      <c r="G87" s="14" t="s">
        <v>506</v>
      </c>
      <c r="H87" s="14" t="s">
        <v>507</v>
      </c>
      <c r="I87" s="15" t="s">
        <v>58</v>
      </c>
      <c r="J87" s="13"/>
      <c r="K87" s="14" t="s">
        <v>508</v>
      </c>
    </row>
    <row r="88" ht="15" customHeight="1" spans="1:11" x14ac:dyDescent="0.25">
      <c r="A88" s="13" t="s">
        <v>509</v>
      </c>
      <c r="B88" s="13" t="s">
        <v>489</v>
      </c>
      <c r="C88" s="13" t="s">
        <v>80</v>
      </c>
      <c r="D88" s="13" t="s">
        <v>183</v>
      </c>
      <c r="E88" s="13" t="s">
        <v>162</v>
      </c>
      <c r="F88" s="14" t="s">
        <v>510</v>
      </c>
      <c r="G88" s="14" t="s">
        <v>511</v>
      </c>
      <c r="H88" s="14" t="s">
        <v>512</v>
      </c>
      <c r="I88" s="15" t="s">
        <v>58</v>
      </c>
      <c r="J88" s="13"/>
      <c r="K88" s="14"/>
    </row>
    <row r="89" ht="15" customHeight="1" spans="1:11" x14ac:dyDescent="0.25">
      <c r="A89" s="13" t="s">
        <v>513</v>
      </c>
      <c r="B89" s="13" t="s">
        <v>489</v>
      </c>
      <c r="C89" s="13" t="s">
        <v>80</v>
      </c>
      <c r="D89" s="13" t="s">
        <v>161</v>
      </c>
      <c r="E89" s="13" t="s">
        <v>162</v>
      </c>
      <c r="F89" s="14" t="s">
        <v>514</v>
      </c>
      <c r="G89" s="14" t="s">
        <v>515</v>
      </c>
      <c r="H89" s="14" t="s">
        <v>516</v>
      </c>
      <c r="I89" s="15" t="s">
        <v>58</v>
      </c>
      <c r="J89" s="13"/>
      <c r="K89" s="14"/>
    </row>
    <row r="90" ht="15" customHeight="1" spans="1:11" x14ac:dyDescent="0.25">
      <c r="A90" s="13" t="s">
        <v>517</v>
      </c>
      <c r="B90" s="13" t="s">
        <v>489</v>
      </c>
      <c r="C90" s="13" t="s">
        <v>80</v>
      </c>
      <c r="D90" s="13" t="s">
        <v>161</v>
      </c>
      <c r="E90" s="13" t="s">
        <v>162</v>
      </c>
      <c r="F90" s="14" t="s">
        <v>518</v>
      </c>
      <c r="G90" s="14" t="s">
        <v>519</v>
      </c>
      <c r="H90" s="14" t="s">
        <v>520</v>
      </c>
      <c r="I90" s="15" t="s">
        <v>58</v>
      </c>
      <c r="J90" s="13"/>
      <c r="K90" s="14"/>
    </row>
    <row r="91" ht="15" customHeight="1" spans="1:11" x14ac:dyDescent="0.25">
      <c r="A91" s="13" t="s">
        <v>521</v>
      </c>
      <c r="B91" s="13" t="s">
        <v>489</v>
      </c>
      <c r="C91" s="13" t="s">
        <v>80</v>
      </c>
      <c r="D91" s="13" t="s">
        <v>161</v>
      </c>
      <c r="E91" s="13" t="s">
        <v>162</v>
      </c>
      <c r="F91" s="14" t="s">
        <v>522</v>
      </c>
      <c r="G91" s="14" t="s">
        <v>523</v>
      </c>
      <c r="H91" s="14"/>
      <c r="I91" s="13" t="s">
        <v>63</v>
      </c>
      <c r="J91" s="13"/>
      <c r="K91" s="14"/>
    </row>
    <row r="92" ht="15" customHeight="1" spans="1:11" x14ac:dyDescent="0.25">
      <c r="A92" s="13" t="s">
        <v>524</v>
      </c>
      <c r="B92" s="13" t="s">
        <v>489</v>
      </c>
      <c r="C92" s="13" t="s">
        <v>80</v>
      </c>
      <c r="D92" s="13" t="s">
        <v>161</v>
      </c>
      <c r="E92" s="13" t="s">
        <v>162</v>
      </c>
      <c r="F92" s="14" t="s">
        <v>525</v>
      </c>
      <c r="G92" s="14" t="s">
        <v>526</v>
      </c>
      <c r="H92" s="14"/>
      <c r="I92" s="13" t="s">
        <v>63</v>
      </c>
      <c r="J92" s="13"/>
      <c r="K92" s="14"/>
    </row>
    <row r="93" ht="23.25" customHeight="1" spans="1:11" x14ac:dyDescent="0.25">
      <c r="A93" s="13" t="s">
        <v>527</v>
      </c>
      <c r="B93" s="13" t="s">
        <v>489</v>
      </c>
      <c r="C93" s="13" t="s">
        <v>80</v>
      </c>
      <c r="D93" s="13" t="s">
        <v>161</v>
      </c>
      <c r="E93" s="13" t="s">
        <v>162</v>
      </c>
      <c r="F93" s="14" t="s">
        <v>528</v>
      </c>
      <c r="G93" s="14" t="s">
        <v>529</v>
      </c>
      <c r="H93" s="14" t="s">
        <v>530</v>
      </c>
      <c r="I93" s="13" t="s">
        <v>63</v>
      </c>
      <c r="J93" s="13"/>
      <c r="K93" s="14"/>
    </row>
    <row r="94" ht="23.25" customHeight="1" spans="1:11" x14ac:dyDescent="0.25">
      <c r="A94" s="13" t="s">
        <v>531</v>
      </c>
      <c r="B94" s="13" t="s">
        <v>489</v>
      </c>
      <c r="C94" s="13" t="s">
        <v>80</v>
      </c>
      <c r="D94" s="13" t="s">
        <v>161</v>
      </c>
      <c r="E94" s="13" t="s">
        <v>205</v>
      </c>
      <c r="F94" s="14" t="s">
        <v>532</v>
      </c>
      <c r="G94" s="14" t="s">
        <v>533</v>
      </c>
      <c r="H94" s="14" t="s">
        <v>534</v>
      </c>
      <c r="I94" s="15" t="s">
        <v>58</v>
      </c>
      <c r="J94" s="13"/>
      <c r="K94" s="14"/>
    </row>
    <row r="95" ht="23.25" customHeight="1" spans="1:11" x14ac:dyDescent="0.25">
      <c r="A95" s="13" t="s">
        <v>535</v>
      </c>
      <c r="B95" s="13" t="s">
        <v>489</v>
      </c>
      <c r="C95" s="13" t="s">
        <v>80</v>
      </c>
      <c r="D95" s="13" t="s">
        <v>183</v>
      </c>
      <c r="E95" s="13" t="s">
        <v>162</v>
      </c>
      <c r="F95" s="14" t="s">
        <v>536</v>
      </c>
      <c r="G95" s="14" t="s">
        <v>537</v>
      </c>
      <c r="H95" s="14" t="s">
        <v>538</v>
      </c>
      <c r="I95" s="15" t="s">
        <v>58</v>
      </c>
      <c r="J95" s="13"/>
      <c r="K95" s="14" t="s">
        <v>539</v>
      </c>
    </row>
    <row r="96" ht="23.25" customHeight="1" spans="1:11" x14ac:dyDescent="0.25">
      <c r="A96" s="13" t="s">
        <v>540</v>
      </c>
      <c r="B96" s="13" t="s">
        <v>541</v>
      </c>
      <c r="C96" s="13" t="s">
        <v>80</v>
      </c>
      <c r="D96" s="13" t="s">
        <v>390</v>
      </c>
      <c r="E96" s="13" t="s">
        <v>162</v>
      </c>
      <c r="F96" s="14" t="s">
        <v>542</v>
      </c>
      <c r="G96" s="14" t="s">
        <v>543</v>
      </c>
      <c r="H96" s="14" t="s">
        <v>544</v>
      </c>
      <c r="I96" s="15" t="s">
        <v>58</v>
      </c>
      <c r="J96" s="13"/>
      <c r="K96" s="14" t="s">
        <v>545</v>
      </c>
    </row>
    <row r="97" ht="15" customHeight="1" spans="1:11" x14ac:dyDescent="0.25">
      <c r="A97" s="13" t="s">
        <v>546</v>
      </c>
      <c r="B97" s="13" t="s">
        <v>489</v>
      </c>
      <c r="C97" s="13" t="s">
        <v>80</v>
      </c>
      <c r="D97" s="13" t="s">
        <v>183</v>
      </c>
      <c r="E97" s="13" t="s">
        <v>155</v>
      </c>
      <c r="F97" s="14" t="s">
        <v>547</v>
      </c>
      <c r="G97" s="14" t="s">
        <v>548</v>
      </c>
      <c r="H97" s="14"/>
      <c r="I97" s="13" t="s">
        <v>63</v>
      </c>
      <c r="J97" s="13"/>
      <c r="K97" s="14"/>
    </row>
    <row r="98" ht="23.25" customHeight="1" spans="1:11" x14ac:dyDescent="0.25">
      <c r="A98" s="13" t="s">
        <v>549</v>
      </c>
      <c r="B98" s="13" t="s">
        <v>489</v>
      </c>
      <c r="C98" s="13" t="s">
        <v>80</v>
      </c>
      <c r="D98" s="13" t="s">
        <v>183</v>
      </c>
      <c r="E98" s="13" t="s">
        <v>162</v>
      </c>
      <c r="F98" s="14" t="s">
        <v>550</v>
      </c>
      <c r="G98" s="14" t="s">
        <v>551</v>
      </c>
      <c r="H98" s="14" t="s">
        <v>552</v>
      </c>
      <c r="I98" s="16" t="s">
        <v>62</v>
      </c>
      <c r="J98" s="13"/>
      <c r="K98" s="14" t="s">
        <v>553</v>
      </c>
    </row>
    <row r="99" ht="15" customHeight="1" spans="1:11" x14ac:dyDescent="0.25">
      <c r="A99" s="13" t="s">
        <v>554</v>
      </c>
      <c r="B99" s="13" t="s">
        <v>555</v>
      </c>
      <c r="C99" s="13" t="s">
        <v>81</v>
      </c>
      <c r="D99" s="13" t="s">
        <v>134</v>
      </c>
      <c r="E99" s="13" t="s">
        <v>162</v>
      </c>
      <c r="F99" s="14" t="s">
        <v>556</v>
      </c>
      <c r="G99" s="14" t="s">
        <v>557</v>
      </c>
      <c r="H99" s="14" t="s">
        <v>558</v>
      </c>
      <c r="I99" s="15" t="s">
        <v>58</v>
      </c>
      <c r="J99" s="13"/>
      <c r="K99" s="14"/>
    </row>
    <row r="100" ht="15" customHeight="1" spans="1:11" x14ac:dyDescent="0.25">
      <c r="A100" s="13" t="s">
        <v>559</v>
      </c>
      <c r="B100" s="13" t="s">
        <v>555</v>
      </c>
      <c r="C100" s="13" t="s">
        <v>81</v>
      </c>
      <c r="D100" s="13" t="s">
        <v>183</v>
      </c>
      <c r="E100" s="13" t="s">
        <v>162</v>
      </c>
      <c r="F100" s="14" t="s">
        <v>560</v>
      </c>
      <c r="G100" s="14" t="s">
        <v>561</v>
      </c>
      <c r="H100" s="14" t="s">
        <v>562</v>
      </c>
      <c r="I100" s="15" t="s">
        <v>58</v>
      </c>
      <c r="J100" s="13"/>
      <c r="K100" s="14"/>
    </row>
    <row r="101" ht="15" customHeight="1" spans="1:11" x14ac:dyDescent="0.25">
      <c r="A101" s="13" t="s">
        <v>563</v>
      </c>
      <c r="B101" s="13" t="s">
        <v>555</v>
      </c>
      <c r="C101" s="13" t="s">
        <v>81</v>
      </c>
      <c r="D101" s="13" t="s">
        <v>134</v>
      </c>
      <c r="E101" s="13" t="s">
        <v>162</v>
      </c>
      <c r="F101" s="14" t="s">
        <v>564</v>
      </c>
      <c r="G101" s="14" t="s">
        <v>565</v>
      </c>
      <c r="H101" s="14" t="s">
        <v>566</v>
      </c>
      <c r="I101" s="15" t="s">
        <v>58</v>
      </c>
      <c r="J101" s="13"/>
      <c r="K101" s="14" t="s">
        <v>567</v>
      </c>
    </row>
    <row r="102" ht="15" customHeight="1" spans="1:11" x14ac:dyDescent="0.25">
      <c r="A102" s="13" t="s">
        <v>568</v>
      </c>
      <c r="B102" s="13" t="s">
        <v>555</v>
      </c>
      <c r="C102" s="13" t="s">
        <v>81</v>
      </c>
      <c r="D102" s="13" t="s">
        <v>161</v>
      </c>
      <c r="E102" s="13" t="s">
        <v>205</v>
      </c>
      <c r="F102" s="14" t="s">
        <v>569</v>
      </c>
      <c r="G102" s="14" t="s">
        <v>570</v>
      </c>
      <c r="H102" s="14" t="s">
        <v>571</v>
      </c>
      <c r="I102" s="15" t="s">
        <v>58</v>
      </c>
      <c r="J102" s="13"/>
      <c r="K102" s="14" t="s">
        <v>572</v>
      </c>
    </row>
    <row r="103" ht="15" customHeight="1" spans="1:11" x14ac:dyDescent="0.25">
      <c r="A103" s="13" t="s">
        <v>573</v>
      </c>
      <c r="B103" s="13" t="s">
        <v>555</v>
      </c>
      <c r="C103" s="13" t="s">
        <v>81</v>
      </c>
      <c r="D103" s="13" t="s">
        <v>134</v>
      </c>
      <c r="E103" s="13" t="s">
        <v>162</v>
      </c>
      <c r="F103" s="14" t="s">
        <v>574</v>
      </c>
      <c r="G103" s="14" t="s">
        <v>575</v>
      </c>
      <c r="H103" s="14" t="s">
        <v>576</v>
      </c>
      <c r="I103" s="15" t="s">
        <v>58</v>
      </c>
      <c r="J103" s="13"/>
      <c r="K103" s="14"/>
    </row>
    <row r="104" ht="15" customHeight="1" spans="1:11" x14ac:dyDescent="0.25">
      <c r="A104" s="13" t="s">
        <v>577</v>
      </c>
      <c r="B104" s="13" t="s">
        <v>555</v>
      </c>
      <c r="C104" s="13" t="s">
        <v>81</v>
      </c>
      <c r="D104" s="13" t="s">
        <v>134</v>
      </c>
      <c r="E104" s="13" t="s">
        <v>155</v>
      </c>
      <c r="F104" s="14" t="s">
        <v>578</v>
      </c>
      <c r="G104" s="14" t="s">
        <v>382</v>
      </c>
      <c r="H104" s="14" t="s">
        <v>579</v>
      </c>
      <c r="I104" s="15" t="s">
        <v>58</v>
      </c>
      <c r="J104" s="13" t="s">
        <v>70</v>
      </c>
      <c r="K104" s="14" t="s">
        <v>580</v>
      </c>
    </row>
    <row r="105" ht="15" customHeight="1" spans="1:11" x14ac:dyDescent="0.25">
      <c r="A105" s="13" t="s">
        <v>581</v>
      </c>
      <c r="B105" s="13" t="s">
        <v>555</v>
      </c>
      <c r="C105" s="13" t="s">
        <v>81</v>
      </c>
      <c r="D105" s="13" t="s">
        <v>183</v>
      </c>
      <c r="E105" s="13" t="s">
        <v>155</v>
      </c>
      <c r="F105" s="14" t="s">
        <v>582</v>
      </c>
      <c r="G105" s="14" t="s">
        <v>382</v>
      </c>
      <c r="H105" s="14" t="s">
        <v>583</v>
      </c>
      <c r="I105" s="13" t="s">
        <v>63</v>
      </c>
      <c r="J105" s="13"/>
      <c r="K105" s="14" t="s">
        <v>584</v>
      </c>
    </row>
    <row r="106" ht="15" customHeight="1" spans="1:11" x14ac:dyDescent="0.25">
      <c r="A106" s="13" t="s">
        <v>585</v>
      </c>
      <c r="B106" s="13" t="s">
        <v>555</v>
      </c>
      <c r="C106" s="13" t="s">
        <v>81</v>
      </c>
      <c r="D106" s="13" t="s">
        <v>134</v>
      </c>
      <c r="E106" s="13" t="s">
        <v>155</v>
      </c>
      <c r="F106" s="14" t="s">
        <v>586</v>
      </c>
      <c r="G106" s="14" t="s">
        <v>587</v>
      </c>
      <c r="H106" s="14"/>
      <c r="I106" s="13" t="s">
        <v>63</v>
      </c>
      <c r="J106" s="13"/>
      <c r="K106" s="14"/>
    </row>
    <row r="107" ht="23.25" customHeight="1" spans="1:11" x14ac:dyDescent="0.25">
      <c r="A107" s="13" t="s">
        <v>588</v>
      </c>
      <c r="B107" s="13" t="s">
        <v>555</v>
      </c>
      <c r="C107" s="13" t="s">
        <v>81</v>
      </c>
      <c r="D107" s="13" t="s">
        <v>183</v>
      </c>
      <c r="E107" s="13" t="s">
        <v>162</v>
      </c>
      <c r="F107" s="14" t="s">
        <v>589</v>
      </c>
      <c r="G107" s="14" t="s">
        <v>590</v>
      </c>
      <c r="H107" s="14" t="s">
        <v>591</v>
      </c>
      <c r="I107" s="15" t="s">
        <v>58</v>
      </c>
      <c r="J107" s="13"/>
      <c r="K107" s="14" t="s">
        <v>592</v>
      </c>
    </row>
    <row r="108" ht="23.25" customHeight="1" spans="1:11" x14ac:dyDescent="0.25">
      <c r="A108" s="13" t="s">
        <v>593</v>
      </c>
      <c r="B108" s="13" t="s">
        <v>555</v>
      </c>
      <c r="C108" s="13" t="s">
        <v>81</v>
      </c>
      <c r="D108" s="13" t="s">
        <v>161</v>
      </c>
      <c r="E108" s="13" t="s">
        <v>162</v>
      </c>
      <c r="F108" s="14" t="s">
        <v>594</v>
      </c>
      <c r="G108" s="14" t="s">
        <v>595</v>
      </c>
      <c r="H108" s="14" t="s">
        <v>596</v>
      </c>
      <c r="I108" s="15" t="s">
        <v>58</v>
      </c>
      <c r="J108" s="13"/>
      <c r="K108" s="14"/>
    </row>
    <row r="109" ht="15" customHeight="1" spans="1:11" x14ac:dyDescent="0.25">
      <c r="A109" s="13" t="s">
        <v>597</v>
      </c>
      <c r="B109" s="13" t="s">
        <v>598</v>
      </c>
      <c r="C109" s="13" t="s">
        <v>82</v>
      </c>
      <c r="D109" s="13" t="s">
        <v>183</v>
      </c>
      <c r="E109" s="13" t="s">
        <v>162</v>
      </c>
      <c r="F109" s="14" t="s">
        <v>599</v>
      </c>
      <c r="G109" s="14" t="s">
        <v>600</v>
      </c>
      <c r="H109" s="14" t="s">
        <v>601</v>
      </c>
      <c r="I109" s="15" t="s">
        <v>58</v>
      </c>
      <c r="J109" s="13"/>
      <c r="K109" s="14"/>
    </row>
    <row r="110" ht="23.25" customHeight="1" spans="1:11" x14ac:dyDescent="0.25">
      <c r="A110" s="13" t="s">
        <v>602</v>
      </c>
      <c r="B110" s="13" t="s">
        <v>598</v>
      </c>
      <c r="C110" s="13" t="s">
        <v>82</v>
      </c>
      <c r="D110" s="13" t="s">
        <v>183</v>
      </c>
      <c r="E110" s="13" t="s">
        <v>162</v>
      </c>
      <c r="F110" s="14" t="s">
        <v>603</v>
      </c>
      <c r="G110" s="14" t="s">
        <v>604</v>
      </c>
      <c r="H110" s="14" t="s">
        <v>605</v>
      </c>
      <c r="I110" s="17" t="s">
        <v>59</v>
      </c>
      <c r="J110" s="13" t="s">
        <v>69</v>
      </c>
      <c r="K110" s="14" t="s">
        <v>606</v>
      </c>
    </row>
    <row r="111" ht="15" customHeight="1" spans="1:11" x14ac:dyDescent="0.25">
      <c r="A111" s="13" t="s">
        <v>607</v>
      </c>
      <c r="B111" s="13" t="s">
        <v>598</v>
      </c>
      <c r="C111" s="13" t="s">
        <v>82</v>
      </c>
      <c r="D111" s="13" t="s">
        <v>183</v>
      </c>
      <c r="E111" s="13" t="s">
        <v>162</v>
      </c>
      <c r="F111" s="14" t="s">
        <v>608</v>
      </c>
      <c r="G111" s="14" t="s">
        <v>609</v>
      </c>
      <c r="H111" s="14" t="s">
        <v>610</v>
      </c>
      <c r="I111" s="15" t="s">
        <v>58</v>
      </c>
      <c r="J111" s="13"/>
      <c r="K111" s="14"/>
    </row>
    <row r="112" ht="15" customHeight="1" spans="1:11" x14ac:dyDescent="0.25">
      <c r="A112" s="13" t="s">
        <v>611</v>
      </c>
      <c r="B112" s="13" t="s">
        <v>598</v>
      </c>
      <c r="C112" s="13" t="s">
        <v>82</v>
      </c>
      <c r="D112" s="13" t="s">
        <v>183</v>
      </c>
      <c r="E112" s="13" t="s">
        <v>205</v>
      </c>
      <c r="F112" s="14" t="s">
        <v>612</v>
      </c>
      <c r="G112" s="14" t="s">
        <v>613</v>
      </c>
      <c r="H112" s="14" t="s">
        <v>614</v>
      </c>
      <c r="I112" s="15" t="s">
        <v>58</v>
      </c>
      <c r="J112" s="13"/>
      <c r="K112" s="14" t="s">
        <v>615</v>
      </c>
    </row>
    <row r="113" ht="15" customHeight="1" spans="1:11" x14ac:dyDescent="0.25">
      <c r="A113" s="13" t="s">
        <v>616</v>
      </c>
      <c r="B113" s="13" t="s">
        <v>598</v>
      </c>
      <c r="C113" s="13" t="s">
        <v>82</v>
      </c>
      <c r="D113" s="13" t="s">
        <v>183</v>
      </c>
      <c r="E113" s="13" t="s">
        <v>162</v>
      </c>
      <c r="F113" s="14" t="s">
        <v>617</v>
      </c>
      <c r="G113" s="14" t="s">
        <v>618</v>
      </c>
      <c r="H113" s="14" t="s">
        <v>619</v>
      </c>
      <c r="I113" s="15" t="s">
        <v>58</v>
      </c>
      <c r="J113" s="13"/>
      <c r="K113" s="14"/>
    </row>
    <row r="114" ht="15" customHeight="1" spans="1:11" x14ac:dyDescent="0.25">
      <c r="A114" s="13" t="s">
        <v>620</v>
      </c>
      <c r="B114" s="13" t="s">
        <v>598</v>
      </c>
      <c r="C114" s="13" t="s">
        <v>82</v>
      </c>
      <c r="D114" s="13" t="s">
        <v>183</v>
      </c>
      <c r="E114" s="13" t="s">
        <v>162</v>
      </c>
      <c r="F114" s="14" t="s">
        <v>621</v>
      </c>
      <c r="G114" s="14" t="s">
        <v>622</v>
      </c>
      <c r="H114" s="14" t="s">
        <v>623</v>
      </c>
      <c r="I114" s="15" t="s">
        <v>58</v>
      </c>
      <c r="J114" s="13"/>
      <c r="K114" s="14"/>
    </row>
    <row r="115" ht="23.25" customHeight="1" spans="1:11" x14ac:dyDescent="0.25">
      <c r="A115" s="13" t="s">
        <v>624</v>
      </c>
      <c r="B115" s="13" t="s">
        <v>598</v>
      </c>
      <c r="C115" s="13" t="s">
        <v>82</v>
      </c>
      <c r="D115" s="13" t="s">
        <v>183</v>
      </c>
      <c r="E115" s="13" t="s">
        <v>162</v>
      </c>
      <c r="F115" s="14" t="s">
        <v>625</v>
      </c>
      <c r="G115" s="14" t="s">
        <v>626</v>
      </c>
      <c r="H115" s="14" t="s">
        <v>627</v>
      </c>
      <c r="I115" s="15" t="s">
        <v>58</v>
      </c>
      <c r="J115" s="13"/>
      <c r="K115" s="14"/>
    </row>
    <row r="116" ht="15" customHeight="1" spans="1:11" x14ac:dyDescent="0.25">
      <c r="A116" s="13" t="s">
        <v>628</v>
      </c>
      <c r="B116" s="13" t="s">
        <v>598</v>
      </c>
      <c r="C116" s="13" t="s">
        <v>82</v>
      </c>
      <c r="D116" s="13" t="s">
        <v>183</v>
      </c>
      <c r="E116" s="13" t="s">
        <v>162</v>
      </c>
      <c r="F116" s="14" t="s">
        <v>629</v>
      </c>
      <c r="G116" s="14" t="s">
        <v>630</v>
      </c>
      <c r="H116" s="14" t="s">
        <v>631</v>
      </c>
      <c r="I116" s="15" t="s">
        <v>58</v>
      </c>
      <c r="J116" s="13"/>
      <c r="K116" s="14" t="s">
        <v>632</v>
      </c>
    </row>
    <row r="117" ht="23.25" customHeight="1" spans="1:11" x14ac:dyDescent="0.25">
      <c r="A117" s="13" t="s">
        <v>633</v>
      </c>
      <c r="B117" s="13" t="s">
        <v>598</v>
      </c>
      <c r="C117" s="13" t="s">
        <v>82</v>
      </c>
      <c r="D117" s="13" t="s">
        <v>183</v>
      </c>
      <c r="E117" s="13" t="s">
        <v>155</v>
      </c>
      <c r="F117" s="14" t="s">
        <v>634</v>
      </c>
      <c r="G117" s="14" t="s">
        <v>635</v>
      </c>
      <c r="H117" s="14" t="s">
        <v>636</v>
      </c>
      <c r="I117" s="15" t="s">
        <v>58</v>
      </c>
      <c r="J117" s="13"/>
      <c r="K117" s="14"/>
    </row>
    <row r="118" ht="34.5" customHeight="1" spans="1:11" x14ac:dyDescent="0.25">
      <c r="A118" s="13" t="s">
        <v>637</v>
      </c>
      <c r="B118" s="13" t="s">
        <v>598</v>
      </c>
      <c r="C118" s="13" t="s">
        <v>82</v>
      </c>
      <c r="D118" s="13" t="s">
        <v>183</v>
      </c>
      <c r="E118" s="13" t="s">
        <v>391</v>
      </c>
      <c r="F118" s="14" t="s">
        <v>638</v>
      </c>
      <c r="G118" s="14" t="s">
        <v>639</v>
      </c>
      <c r="H118" s="14" t="s">
        <v>640</v>
      </c>
      <c r="I118" s="16" t="s">
        <v>62</v>
      </c>
      <c r="J118" s="13"/>
      <c r="K118" s="14" t="s">
        <v>641</v>
      </c>
    </row>
    <row r="119" ht="15" customHeight="1" spans="1:11" x14ac:dyDescent="0.25">
      <c r="A119" s="13" t="s">
        <v>642</v>
      </c>
      <c r="B119" s="13" t="s">
        <v>643</v>
      </c>
      <c r="C119" s="13" t="s">
        <v>83</v>
      </c>
      <c r="D119" s="13" t="s">
        <v>183</v>
      </c>
      <c r="E119" s="13" t="s">
        <v>162</v>
      </c>
      <c r="F119" s="14" t="s">
        <v>644</v>
      </c>
      <c r="G119" s="14" t="s">
        <v>645</v>
      </c>
      <c r="H119" s="14" t="s">
        <v>646</v>
      </c>
      <c r="I119" s="15" t="s">
        <v>58</v>
      </c>
      <c r="J119" s="13"/>
      <c r="K119" s="14"/>
    </row>
    <row r="120" ht="15" customHeight="1" spans="1:11" x14ac:dyDescent="0.25">
      <c r="A120" s="13" t="s">
        <v>647</v>
      </c>
      <c r="B120" s="13" t="s">
        <v>643</v>
      </c>
      <c r="C120" s="13" t="s">
        <v>83</v>
      </c>
      <c r="D120" s="13" t="s">
        <v>183</v>
      </c>
      <c r="E120" s="13" t="s">
        <v>162</v>
      </c>
      <c r="F120" s="14" t="s">
        <v>648</v>
      </c>
      <c r="G120" s="14" t="s">
        <v>645</v>
      </c>
      <c r="H120" s="14" t="s">
        <v>649</v>
      </c>
      <c r="I120" s="17" t="s">
        <v>59</v>
      </c>
      <c r="J120" s="13" t="s">
        <v>68</v>
      </c>
      <c r="K120" s="14" t="s">
        <v>650</v>
      </c>
    </row>
    <row r="121" ht="15" customHeight="1" spans="1:11" x14ac:dyDescent="0.25">
      <c r="A121" s="13" t="s">
        <v>47</v>
      </c>
      <c r="B121" s="13" t="s">
        <v>643</v>
      </c>
      <c r="C121" s="13" t="s">
        <v>83</v>
      </c>
      <c r="D121" s="13" t="s">
        <v>183</v>
      </c>
      <c r="E121" s="13" t="s">
        <v>162</v>
      </c>
      <c r="F121" s="14" t="s">
        <v>651</v>
      </c>
      <c r="G121" s="14" t="s">
        <v>652</v>
      </c>
      <c r="H121" s="14" t="s">
        <v>653</v>
      </c>
      <c r="I121" s="16" t="s">
        <v>60</v>
      </c>
      <c r="J121" s="13"/>
      <c r="K121" s="14" t="s">
        <v>654</v>
      </c>
    </row>
    <row r="122" ht="23.25" customHeight="1" spans="1:11" x14ac:dyDescent="0.25">
      <c r="A122" s="13" t="s">
        <v>655</v>
      </c>
      <c r="B122" s="13" t="s">
        <v>643</v>
      </c>
      <c r="C122" s="13" t="s">
        <v>83</v>
      </c>
      <c r="D122" s="13" t="s">
        <v>183</v>
      </c>
      <c r="E122" s="13" t="s">
        <v>162</v>
      </c>
      <c r="F122" s="14" t="s">
        <v>656</v>
      </c>
      <c r="G122" s="14" t="s">
        <v>657</v>
      </c>
      <c r="H122" s="14" t="s">
        <v>658</v>
      </c>
      <c r="I122" s="15" t="s">
        <v>58</v>
      </c>
      <c r="J122" s="13"/>
      <c r="K122" s="14" t="s">
        <v>659</v>
      </c>
    </row>
    <row r="123" ht="15" customHeight="1" spans="1:11" x14ac:dyDescent="0.25">
      <c r="A123" s="13" t="s">
        <v>660</v>
      </c>
      <c r="B123" s="13" t="s">
        <v>643</v>
      </c>
      <c r="C123" s="13" t="s">
        <v>83</v>
      </c>
      <c r="D123" s="13" t="s">
        <v>183</v>
      </c>
      <c r="E123" s="13" t="s">
        <v>271</v>
      </c>
      <c r="F123" s="14" t="s">
        <v>661</v>
      </c>
      <c r="G123" s="14" t="s">
        <v>662</v>
      </c>
      <c r="H123" s="14"/>
      <c r="I123" s="13" t="s">
        <v>63</v>
      </c>
      <c r="J123" s="13"/>
      <c r="K123" s="14"/>
    </row>
    <row r="124" ht="15" customHeight="1" spans="1:11" x14ac:dyDescent="0.25">
      <c r="A124" s="13" t="s">
        <v>663</v>
      </c>
      <c r="B124" s="13" t="s">
        <v>643</v>
      </c>
      <c r="C124" s="13" t="s">
        <v>83</v>
      </c>
      <c r="D124" s="13" t="s">
        <v>161</v>
      </c>
      <c r="E124" s="13" t="s">
        <v>162</v>
      </c>
      <c r="F124" s="14" t="s">
        <v>664</v>
      </c>
      <c r="G124" s="14" t="s">
        <v>665</v>
      </c>
      <c r="H124" s="14" t="s">
        <v>666</v>
      </c>
      <c r="I124" s="15" t="s">
        <v>58</v>
      </c>
      <c r="J124" s="13"/>
      <c r="K124" s="14" t="s">
        <v>667</v>
      </c>
    </row>
    <row r="125" ht="15" customHeight="1" spans="1:11" x14ac:dyDescent="0.25">
      <c r="A125" s="13" t="s">
        <v>668</v>
      </c>
      <c r="B125" s="13" t="s">
        <v>145</v>
      </c>
      <c r="C125" s="13" t="s">
        <v>84</v>
      </c>
      <c r="D125" s="13" t="s">
        <v>390</v>
      </c>
      <c r="E125" s="13" t="s">
        <v>162</v>
      </c>
      <c r="F125" s="14" t="s">
        <v>669</v>
      </c>
      <c r="G125" s="14" t="s">
        <v>670</v>
      </c>
      <c r="H125" s="14" t="s">
        <v>671</v>
      </c>
      <c r="I125" s="15" t="s">
        <v>58</v>
      </c>
      <c r="J125" s="13"/>
      <c r="K125" s="14" t="s">
        <v>672</v>
      </c>
    </row>
    <row r="126" ht="23.25" customHeight="1" spans="1:11" x14ac:dyDescent="0.25">
      <c r="A126" s="13" t="s">
        <v>673</v>
      </c>
      <c r="B126" s="13" t="s">
        <v>145</v>
      </c>
      <c r="C126" s="13" t="s">
        <v>84</v>
      </c>
      <c r="D126" s="13" t="s">
        <v>390</v>
      </c>
      <c r="E126" s="13" t="s">
        <v>162</v>
      </c>
      <c r="F126" s="14" t="s">
        <v>674</v>
      </c>
      <c r="G126" s="14" t="s">
        <v>675</v>
      </c>
      <c r="H126" s="14" t="s">
        <v>676</v>
      </c>
      <c r="I126" s="15" t="s">
        <v>58</v>
      </c>
      <c r="J126" s="13"/>
      <c r="K126" s="14"/>
    </row>
    <row r="127" ht="15" customHeight="1" spans="1:11" x14ac:dyDescent="0.25">
      <c r="A127" s="13" t="s">
        <v>677</v>
      </c>
      <c r="B127" s="13" t="s">
        <v>145</v>
      </c>
      <c r="C127" s="13" t="s">
        <v>84</v>
      </c>
      <c r="D127" s="13" t="s">
        <v>390</v>
      </c>
      <c r="E127" s="13" t="s">
        <v>155</v>
      </c>
      <c r="F127" s="14" t="s">
        <v>678</v>
      </c>
      <c r="G127" s="14" t="s">
        <v>679</v>
      </c>
      <c r="H127" s="14" t="s">
        <v>680</v>
      </c>
      <c r="I127" s="15" t="s">
        <v>58</v>
      </c>
      <c r="J127" s="13" t="s">
        <v>69</v>
      </c>
      <c r="K127" s="14" t="s">
        <v>681</v>
      </c>
    </row>
    <row r="128" ht="15" customHeight="1" spans="1:11" x14ac:dyDescent="0.25">
      <c r="A128" s="13" t="s">
        <v>682</v>
      </c>
      <c r="B128" s="13" t="s">
        <v>145</v>
      </c>
      <c r="C128" s="13" t="s">
        <v>84</v>
      </c>
      <c r="D128" s="13" t="s">
        <v>390</v>
      </c>
      <c r="E128" s="13" t="s">
        <v>162</v>
      </c>
      <c r="F128" s="14" t="s">
        <v>683</v>
      </c>
      <c r="G128" s="14" t="s">
        <v>684</v>
      </c>
      <c r="H128" s="14" t="s">
        <v>685</v>
      </c>
      <c r="I128" s="15" t="s">
        <v>58</v>
      </c>
      <c r="J128" s="13"/>
      <c r="K128" s="14"/>
    </row>
    <row r="129" ht="15" customHeight="1" spans="1:11" x14ac:dyDescent="0.25">
      <c r="A129" s="13" t="s">
        <v>686</v>
      </c>
      <c r="B129" s="13" t="s">
        <v>145</v>
      </c>
      <c r="C129" s="13" t="s">
        <v>84</v>
      </c>
      <c r="D129" s="13" t="s">
        <v>390</v>
      </c>
      <c r="E129" s="13" t="s">
        <v>162</v>
      </c>
      <c r="F129" s="14" t="s">
        <v>687</v>
      </c>
      <c r="G129" s="14" t="s">
        <v>688</v>
      </c>
      <c r="H129" s="14" t="s">
        <v>689</v>
      </c>
      <c r="I129" s="15" t="s">
        <v>58</v>
      </c>
      <c r="J129" s="13" t="s">
        <v>69</v>
      </c>
      <c r="K129" s="14" t="s">
        <v>690</v>
      </c>
    </row>
    <row r="130" ht="23.25" customHeight="1" spans="1:11" x14ac:dyDescent="0.25">
      <c r="A130" s="13" t="s">
        <v>691</v>
      </c>
      <c r="B130" s="13" t="s">
        <v>145</v>
      </c>
      <c r="C130" s="13" t="s">
        <v>84</v>
      </c>
      <c r="D130" s="13" t="s">
        <v>390</v>
      </c>
      <c r="E130" s="13" t="s">
        <v>162</v>
      </c>
      <c r="F130" s="14" t="s">
        <v>692</v>
      </c>
      <c r="G130" s="14" t="s">
        <v>693</v>
      </c>
      <c r="H130" s="14" t="s">
        <v>694</v>
      </c>
      <c r="I130" s="15" t="s">
        <v>58</v>
      </c>
      <c r="J130" s="13"/>
      <c r="K130" s="14" t="s">
        <v>695</v>
      </c>
    </row>
    <row r="131" ht="23.25" customHeight="1" spans="1:11" x14ac:dyDescent="0.25">
      <c r="A131" s="13" t="s">
        <v>696</v>
      </c>
      <c r="B131" s="13" t="s">
        <v>145</v>
      </c>
      <c r="C131" s="13" t="s">
        <v>84</v>
      </c>
      <c r="D131" s="13" t="s">
        <v>390</v>
      </c>
      <c r="E131" s="13" t="s">
        <v>162</v>
      </c>
      <c r="F131" s="14" t="s">
        <v>697</v>
      </c>
      <c r="G131" s="14" t="s">
        <v>698</v>
      </c>
      <c r="H131" s="14" t="s">
        <v>699</v>
      </c>
      <c r="I131" s="15" t="s">
        <v>58</v>
      </c>
      <c r="J131" s="13"/>
      <c r="K131" s="14" t="s">
        <v>700</v>
      </c>
    </row>
    <row r="132" ht="23.25" customHeight="1" spans="1:11" x14ac:dyDescent="0.25">
      <c r="A132" s="13" t="s">
        <v>701</v>
      </c>
      <c r="B132" s="13" t="s">
        <v>702</v>
      </c>
      <c r="C132" s="13" t="s">
        <v>85</v>
      </c>
      <c r="D132" s="13" t="s">
        <v>161</v>
      </c>
      <c r="E132" s="13" t="s">
        <v>703</v>
      </c>
      <c r="F132" s="14" t="s">
        <v>704</v>
      </c>
      <c r="G132" s="14" t="s">
        <v>705</v>
      </c>
      <c r="H132" s="14" t="s">
        <v>706</v>
      </c>
      <c r="I132" s="17" t="s">
        <v>59</v>
      </c>
      <c r="J132" s="13" t="s">
        <v>71</v>
      </c>
      <c r="K132" s="14" t="s">
        <v>707</v>
      </c>
    </row>
    <row r="133" ht="23.25" customHeight="1" spans="1:11" x14ac:dyDescent="0.25">
      <c r="A133" s="13" t="s">
        <v>708</v>
      </c>
      <c r="B133" s="13" t="s">
        <v>702</v>
      </c>
      <c r="C133" s="13" t="s">
        <v>85</v>
      </c>
      <c r="D133" s="13" t="s">
        <v>161</v>
      </c>
      <c r="E133" s="13" t="s">
        <v>703</v>
      </c>
      <c r="F133" s="14" t="s">
        <v>709</v>
      </c>
      <c r="G133" s="14" t="s">
        <v>710</v>
      </c>
      <c r="H133" s="14" t="s">
        <v>711</v>
      </c>
      <c r="I133" s="17" t="s">
        <v>59</v>
      </c>
      <c r="J133" s="13" t="s">
        <v>71</v>
      </c>
      <c r="K133" s="14" t="s">
        <v>712</v>
      </c>
    </row>
    <row r="134" ht="23.25" customHeight="1" spans="1:11" x14ac:dyDescent="0.25">
      <c r="A134" s="13" t="s">
        <v>713</v>
      </c>
      <c r="B134" s="13" t="s">
        <v>702</v>
      </c>
      <c r="C134" s="13" t="s">
        <v>85</v>
      </c>
      <c r="D134" s="13" t="s">
        <v>161</v>
      </c>
      <c r="E134" s="13" t="s">
        <v>703</v>
      </c>
      <c r="F134" s="14" t="s">
        <v>714</v>
      </c>
      <c r="G134" s="14" t="s">
        <v>715</v>
      </c>
      <c r="H134" s="14" t="s">
        <v>716</v>
      </c>
      <c r="I134" s="15" t="s">
        <v>58</v>
      </c>
      <c r="J134" s="13" t="s">
        <v>70</v>
      </c>
      <c r="K134" s="14" t="s">
        <v>717</v>
      </c>
    </row>
    <row r="135" ht="23.25" customHeight="1" spans="1:11" x14ac:dyDescent="0.25">
      <c r="A135" s="13" t="s">
        <v>718</v>
      </c>
      <c r="B135" s="13" t="s">
        <v>702</v>
      </c>
      <c r="C135" s="13" t="s">
        <v>85</v>
      </c>
      <c r="D135" s="13" t="s">
        <v>161</v>
      </c>
      <c r="E135" s="13" t="s">
        <v>703</v>
      </c>
      <c r="F135" s="14" t="s">
        <v>719</v>
      </c>
      <c r="G135" s="14" t="s">
        <v>720</v>
      </c>
      <c r="H135" s="14" t="s">
        <v>721</v>
      </c>
      <c r="I135" s="17" t="s">
        <v>59</v>
      </c>
      <c r="J135" s="13" t="s">
        <v>70</v>
      </c>
      <c r="K135" s="14" t="s">
        <v>722</v>
      </c>
    </row>
    <row r="136" ht="23.25" customHeight="1" spans="1:11" x14ac:dyDescent="0.25">
      <c r="A136" s="13" t="s">
        <v>723</v>
      </c>
      <c r="B136" s="13" t="s">
        <v>702</v>
      </c>
      <c r="C136" s="13" t="s">
        <v>85</v>
      </c>
      <c r="D136" s="13" t="s">
        <v>161</v>
      </c>
      <c r="E136" s="13" t="s">
        <v>703</v>
      </c>
      <c r="F136" s="14" t="s">
        <v>724</v>
      </c>
      <c r="G136" s="14" t="s">
        <v>725</v>
      </c>
      <c r="H136" s="14" t="s">
        <v>726</v>
      </c>
      <c r="I136" s="16" t="s">
        <v>62</v>
      </c>
      <c r="J136" s="13" t="s">
        <v>71</v>
      </c>
      <c r="K136" s="14" t="s">
        <v>727</v>
      </c>
    </row>
    <row r="137" ht="23.25" customHeight="1" spans="1:11" x14ac:dyDescent="0.25">
      <c r="A137" s="13" t="s">
        <v>728</v>
      </c>
      <c r="B137" s="13" t="s">
        <v>702</v>
      </c>
      <c r="C137" s="13" t="s">
        <v>85</v>
      </c>
      <c r="D137" s="13" t="s">
        <v>161</v>
      </c>
      <c r="E137" s="13" t="s">
        <v>703</v>
      </c>
      <c r="F137" s="14" t="s">
        <v>729</v>
      </c>
      <c r="G137" s="14" t="s">
        <v>730</v>
      </c>
      <c r="H137" s="14" t="s">
        <v>731</v>
      </c>
      <c r="I137" s="17" t="s">
        <v>59</v>
      </c>
      <c r="J137" s="13" t="s">
        <v>71</v>
      </c>
      <c r="K137" s="14" t="s">
        <v>732</v>
      </c>
    </row>
    <row r="138" ht="15" customHeight="1" spans="1:11" x14ac:dyDescent="0.25">
      <c r="A138" s="13" t="s">
        <v>733</v>
      </c>
      <c r="B138" s="13" t="s">
        <v>702</v>
      </c>
      <c r="C138" s="13" t="s">
        <v>85</v>
      </c>
      <c r="D138" s="13" t="s">
        <v>161</v>
      </c>
      <c r="E138" s="13" t="s">
        <v>703</v>
      </c>
      <c r="F138" s="14" t="s">
        <v>734</v>
      </c>
      <c r="G138" s="14" t="s">
        <v>735</v>
      </c>
      <c r="H138" s="14"/>
      <c r="I138" s="13" t="s">
        <v>63</v>
      </c>
      <c r="J138" s="13"/>
      <c r="K138" s="14"/>
    </row>
    <row r="139" ht="15" customHeight="1" spans="1:11" x14ac:dyDescent="0.25">
      <c r="A139" s="13" t="s">
        <v>736</v>
      </c>
      <c r="B139" s="13" t="s">
        <v>702</v>
      </c>
      <c r="C139" s="13" t="s">
        <v>85</v>
      </c>
      <c r="D139" s="13" t="s">
        <v>161</v>
      </c>
      <c r="E139" s="13" t="s">
        <v>737</v>
      </c>
      <c r="F139" s="14" t="s">
        <v>738</v>
      </c>
      <c r="G139" s="14" t="s">
        <v>739</v>
      </c>
      <c r="H139" s="14"/>
      <c r="I139" s="13" t="s">
        <v>63</v>
      </c>
      <c r="J139" s="13"/>
      <c r="K139" s="14"/>
    </row>
    <row r="140" ht="15" customHeight="1" spans="1:11" x14ac:dyDescent="0.25">
      <c r="A140" s="13" t="s">
        <v>740</v>
      </c>
      <c r="B140" s="13" t="s">
        <v>702</v>
      </c>
      <c r="C140" s="13" t="s">
        <v>85</v>
      </c>
      <c r="D140" s="13" t="s">
        <v>161</v>
      </c>
      <c r="E140" s="13" t="s">
        <v>741</v>
      </c>
      <c r="F140" s="14" t="s">
        <v>742</v>
      </c>
      <c r="G140" s="14" t="s">
        <v>743</v>
      </c>
      <c r="H140" s="14" t="s">
        <v>744</v>
      </c>
      <c r="I140" s="15" t="s">
        <v>58</v>
      </c>
      <c r="J140" s="13"/>
      <c r="K140" s="14" t="s">
        <v>745</v>
      </c>
    </row>
    <row r="141" ht="23.25" customHeight="1" spans="1:11" x14ac:dyDescent="0.25">
      <c r="A141" s="13" t="s">
        <v>746</v>
      </c>
      <c r="B141" s="13" t="s">
        <v>702</v>
      </c>
      <c r="C141" s="13" t="s">
        <v>85</v>
      </c>
      <c r="D141" s="13" t="s">
        <v>161</v>
      </c>
      <c r="E141" s="13" t="s">
        <v>703</v>
      </c>
      <c r="F141" s="14" t="s">
        <v>747</v>
      </c>
      <c r="G141" s="14" t="s">
        <v>748</v>
      </c>
      <c r="H141" s="14" t="s">
        <v>749</v>
      </c>
      <c r="I141" s="17" t="s">
        <v>59</v>
      </c>
      <c r="J141" s="13" t="s">
        <v>71</v>
      </c>
      <c r="K141" s="14" t="s">
        <v>750</v>
      </c>
    </row>
    <row r="142" ht="15" customHeight="1" spans="1:11" x14ac:dyDescent="0.25">
      <c r="A142" s="13" t="s">
        <v>751</v>
      </c>
      <c r="B142" s="13" t="s">
        <v>702</v>
      </c>
      <c r="C142" s="13" t="s">
        <v>85</v>
      </c>
      <c r="D142" s="13" t="s">
        <v>161</v>
      </c>
      <c r="E142" s="13" t="s">
        <v>703</v>
      </c>
      <c r="F142" s="14" t="s">
        <v>752</v>
      </c>
      <c r="G142" s="14" t="s">
        <v>753</v>
      </c>
      <c r="H142" s="14"/>
      <c r="I142" s="13" t="s">
        <v>63</v>
      </c>
      <c r="J142" s="13"/>
      <c r="K142" s="14"/>
    </row>
    <row r="143" ht="15" customHeight="1" spans="1:11" x14ac:dyDescent="0.25">
      <c r="A143" s="13" t="s">
        <v>754</v>
      </c>
      <c r="B143" s="13" t="s">
        <v>702</v>
      </c>
      <c r="C143" s="13" t="s">
        <v>85</v>
      </c>
      <c r="D143" s="13" t="s">
        <v>161</v>
      </c>
      <c r="E143" s="13" t="s">
        <v>703</v>
      </c>
      <c r="F143" s="14" t="s">
        <v>755</v>
      </c>
      <c r="G143" s="14" t="s">
        <v>756</v>
      </c>
      <c r="H143" s="14" t="s">
        <v>757</v>
      </c>
      <c r="I143" s="15" t="s">
        <v>58</v>
      </c>
      <c r="J143" s="13"/>
      <c r="K143" s="14" t="s">
        <v>758</v>
      </c>
    </row>
    <row r="144" ht="15" customHeight="1" spans="1:11" x14ac:dyDescent="0.25">
      <c r="A144" s="13" t="s">
        <v>759</v>
      </c>
      <c r="B144" s="13" t="s">
        <v>702</v>
      </c>
      <c r="C144" s="13" t="s">
        <v>85</v>
      </c>
      <c r="D144" s="13" t="s">
        <v>161</v>
      </c>
      <c r="E144" s="13" t="s">
        <v>703</v>
      </c>
      <c r="F144" s="14" t="s">
        <v>760</v>
      </c>
      <c r="G144" s="14" t="s">
        <v>761</v>
      </c>
      <c r="H144" s="14"/>
      <c r="I144" s="13" t="s">
        <v>63</v>
      </c>
      <c r="J144" s="13"/>
      <c r="K144" s="14"/>
    </row>
    <row r="145" ht="15" customHeight="1" spans="1:11" x14ac:dyDescent="0.25">
      <c r="A145" s="13" t="s">
        <v>762</v>
      </c>
      <c r="B145" s="13" t="s">
        <v>702</v>
      </c>
      <c r="C145" s="13" t="s">
        <v>85</v>
      </c>
      <c r="D145" s="13" t="s">
        <v>161</v>
      </c>
      <c r="E145" s="13" t="s">
        <v>703</v>
      </c>
      <c r="F145" s="14" t="s">
        <v>763</v>
      </c>
      <c r="G145" s="14" t="s">
        <v>764</v>
      </c>
      <c r="H145" s="14"/>
      <c r="I145" s="13" t="s">
        <v>63</v>
      </c>
      <c r="J145" s="13"/>
      <c r="K145" s="14"/>
    </row>
    <row r="146" ht="23.25" customHeight="1" spans="1:11" x14ac:dyDescent="0.25">
      <c r="A146" s="13" t="s">
        <v>765</v>
      </c>
      <c r="B146" s="13" t="s">
        <v>766</v>
      </c>
      <c r="C146" s="13" t="s">
        <v>86</v>
      </c>
      <c r="D146" s="13" t="s">
        <v>767</v>
      </c>
      <c r="E146" s="13" t="s">
        <v>768</v>
      </c>
      <c r="F146" s="14" t="s">
        <v>769</v>
      </c>
      <c r="G146" s="14" t="s">
        <v>770</v>
      </c>
      <c r="H146" s="14" t="s">
        <v>771</v>
      </c>
      <c r="I146" s="16" t="s">
        <v>62</v>
      </c>
      <c r="J146" s="13"/>
      <c r="K146" s="14" t="s">
        <v>772</v>
      </c>
    </row>
    <row r="147" ht="23.25" customHeight="1" spans="1:11" x14ac:dyDescent="0.25">
      <c r="A147" s="13" t="s">
        <v>773</v>
      </c>
      <c r="B147" s="13" t="s">
        <v>189</v>
      </c>
      <c r="C147" s="13" t="s">
        <v>86</v>
      </c>
      <c r="D147" s="13" t="s">
        <v>767</v>
      </c>
      <c r="E147" s="13" t="s">
        <v>768</v>
      </c>
      <c r="F147" s="14" t="s">
        <v>774</v>
      </c>
      <c r="G147" s="14" t="s">
        <v>775</v>
      </c>
      <c r="H147" s="14" t="s">
        <v>776</v>
      </c>
      <c r="I147" s="16" t="s">
        <v>62</v>
      </c>
      <c r="J147" s="13"/>
      <c r="K147" s="14" t="s">
        <v>777</v>
      </c>
    </row>
    <row r="148" ht="23.25" customHeight="1" spans="1:11" x14ac:dyDescent="0.25">
      <c r="A148" s="13" t="s">
        <v>778</v>
      </c>
      <c r="B148" s="13" t="s">
        <v>189</v>
      </c>
      <c r="C148" s="13" t="s">
        <v>86</v>
      </c>
      <c r="D148" s="13" t="s">
        <v>767</v>
      </c>
      <c r="E148" s="13" t="s">
        <v>768</v>
      </c>
      <c r="F148" s="14" t="s">
        <v>779</v>
      </c>
      <c r="G148" s="14" t="s">
        <v>780</v>
      </c>
      <c r="H148" s="14" t="s">
        <v>781</v>
      </c>
      <c r="I148" s="16" t="s">
        <v>62</v>
      </c>
      <c r="J148" s="13"/>
      <c r="K148" s="14" t="s">
        <v>782</v>
      </c>
    </row>
    <row r="149" ht="34.5" customHeight="1" spans="1:11" x14ac:dyDescent="0.25">
      <c r="A149" s="13" t="s">
        <v>783</v>
      </c>
      <c r="B149" s="13" t="s">
        <v>555</v>
      </c>
      <c r="C149" s="13" t="s">
        <v>86</v>
      </c>
      <c r="D149" s="13" t="s">
        <v>767</v>
      </c>
      <c r="E149" s="13" t="s">
        <v>768</v>
      </c>
      <c r="F149" s="14" t="s">
        <v>784</v>
      </c>
      <c r="G149" s="14" t="s">
        <v>785</v>
      </c>
      <c r="H149" s="14" t="s">
        <v>786</v>
      </c>
      <c r="I149" s="16" t="s">
        <v>62</v>
      </c>
      <c r="J149" s="13"/>
      <c r="K149" s="14" t="s">
        <v>787</v>
      </c>
    </row>
    <row r="150" ht="23.25" customHeight="1" spans="1:11" x14ac:dyDescent="0.25">
      <c r="A150" s="13" t="s">
        <v>788</v>
      </c>
      <c r="B150" s="13" t="s">
        <v>189</v>
      </c>
      <c r="C150" s="13" t="s">
        <v>86</v>
      </c>
      <c r="D150" s="13" t="s">
        <v>767</v>
      </c>
      <c r="E150" s="13" t="s">
        <v>768</v>
      </c>
      <c r="F150" s="14" t="s">
        <v>789</v>
      </c>
      <c r="G150" s="14" t="s">
        <v>790</v>
      </c>
      <c r="H150" s="14" t="s">
        <v>791</v>
      </c>
      <c r="I150" s="16" t="s">
        <v>62</v>
      </c>
      <c r="J150" s="13"/>
      <c r="K150" s="14"/>
    </row>
    <row r="151" ht="23.25" customHeight="1" spans="1:11" x14ac:dyDescent="0.25">
      <c r="A151" s="13" t="s">
        <v>792</v>
      </c>
      <c r="B151" s="13" t="s">
        <v>189</v>
      </c>
      <c r="C151" s="13" t="s">
        <v>86</v>
      </c>
      <c r="D151" s="13" t="s">
        <v>767</v>
      </c>
      <c r="E151" s="13" t="s">
        <v>768</v>
      </c>
      <c r="F151" s="14" t="s">
        <v>793</v>
      </c>
      <c r="G151" s="14" t="s">
        <v>794</v>
      </c>
      <c r="H151" s="14" t="s">
        <v>795</v>
      </c>
      <c r="I151" s="16" t="s">
        <v>62</v>
      </c>
      <c r="J151" s="13"/>
      <c r="K151" s="14" t="s">
        <v>796</v>
      </c>
    </row>
    <row r="152" ht="23.25" customHeight="1" spans="1:11" x14ac:dyDescent="0.25">
      <c r="A152" s="13" t="s">
        <v>797</v>
      </c>
      <c r="B152" s="13" t="s">
        <v>489</v>
      </c>
      <c r="C152" s="13" t="s">
        <v>86</v>
      </c>
      <c r="D152" s="13" t="s">
        <v>767</v>
      </c>
      <c r="E152" s="13" t="s">
        <v>768</v>
      </c>
      <c r="F152" s="14" t="s">
        <v>798</v>
      </c>
      <c r="G152" s="14" t="s">
        <v>799</v>
      </c>
      <c r="H152" s="14" t="s">
        <v>800</v>
      </c>
      <c r="I152" s="16" t="s">
        <v>62</v>
      </c>
      <c r="J152" s="13"/>
      <c r="K152" s="14" t="s">
        <v>801</v>
      </c>
    </row>
    <row r="153" ht="23.25" customHeight="1" spans="1:11" x14ac:dyDescent="0.25">
      <c r="A153" s="13" t="s">
        <v>802</v>
      </c>
      <c r="B153" s="13" t="s">
        <v>154</v>
      </c>
      <c r="C153" s="13" t="s">
        <v>86</v>
      </c>
      <c r="D153" s="13" t="s">
        <v>767</v>
      </c>
      <c r="E153" s="13" t="s">
        <v>768</v>
      </c>
      <c r="F153" s="14" t="s">
        <v>803</v>
      </c>
      <c r="G153" s="14" t="s">
        <v>804</v>
      </c>
      <c r="H153" s="14" t="s">
        <v>805</v>
      </c>
      <c r="I153" s="16" t="s">
        <v>62</v>
      </c>
      <c r="J153" s="13"/>
      <c r="K153" s="14" t="s">
        <v>806</v>
      </c>
    </row>
    <row r="154" ht="23.25" customHeight="1" spans="1:11" x14ac:dyDescent="0.25">
      <c r="A154" s="13" t="s">
        <v>807</v>
      </c>
      <c r="B154" s="13" t="s">
        <v>154</v>
      </c>
      <c r="C154" s="13" t="s">
        <v>86</v>
      </c>
      <c r="D154" s="13" t="s">
        <v>767</v>
      </c>
      <c r="E154" s="13" t="s">
        <v>768</v>
      </c>
      <c r="F154" s="14" t="s">
        <v>808</v>
      </c>
      <c r="G154" s="14" t="s">
        <v>809</v>
      </c>
      <c r="H154" s="14" t="s">
        <v>810</v>
      </c>
      <c r="I154" s="16" t="s">
        <v>62</v>
      </c>
      <c r="J154" s="13"/>
      <c r="K154" s="14"/>
    </row>
    <row r="155" ht="23.25" customHeight="1" spans="1:11" x14ac:dyDescent="0.25">
      <c r="A155" s="13" t="s">
        <v>811</v>
      </c>
      <c r="B155" s="13" t="s">
        <v>439</v>
      </c>
      <c r="C155" s="13" t="s">
        <v>86</v>
      </c>
      <c r="D155" s="13" t="s">
        <v>767</v>
      </c>
      <c r="E155" s="13" t="s">
        <v>768</v>
      </c>
      <c r="F155" s="14" t="s">
        <v>812</v>
      </c>
      <c r="G155" s="14" t="s">
        <v>813</v>
      </c>
      <c r="H155" s="14" t="s">
        <v>814</v>
      </c>
      <c r="I155" s="16" t="s">
        <v>62</v>
      </c>
      <c r="J155" s="13"/>
      <c r="K155" s="14" t="s">
        <v>815</v>
      </c>
    </row>
    <row r="156" ht="45.75" customHeight="1" spans="1:11" x14ac:dyDescent="0.25">
      <c r="A156" s="13" t="s">
        <v>816</v>
      </c>
      <c r="B156" s="13" t="s">
        <v>817</v>
      </c>
      <c r="C156" s="13" t="s">
        <v>76</v>
      </c>
      <c r="D156" s="13" t="s">
        <v>134</v>
      </c>
      <c r="E156" s="13" t="s">
        <v>391</v>
      </c>
      <c r="F156" s="14" t="s">
        <v>818</v>
      </c>
      <c r="G156" s="14" t="s">
        <v>819</v>
      </c>
      <c r="H156" s="14" t="s">
        <v>820</v>
      </c>
      <c r="I156" s="17" t="s">
        <v>59</v>
      </c>
      <c r="J156" s="13" t="s">
        <v>67</v>
      </c>
      <c r="K156" s="14" t="s">
        <v>821</v>
      </c>
    </row>
    <row r="157" ht="34.5" customHeight="1" spans="1:11" x14ac:dyDescent="0.25">
      <c r="A157" s="13" t="s">
        <v>822</v>
      </c>
      <c r="B157" s="13" t="s">
        <v>823</v>
      </c>
      <c r="C157" s="13" t="s">
        <v>81</v>
      </c>
      <c r="D157" s="13" t="s">
        <v>134</v>
      </c>
      <c r="E157" s="13" t="s">
        <v>391</v>
      </c>
      <c r="F157" s="14" t="s">
        <v>824</v>
      </c>
      <c r="G157" s="14" t="s">
        <v>819</v>
      </c>
      <c r="H157" s="14" t="s">
        <v>825</v>
      </c>
      <c r="I157" s="17" t="s">
        <v>59</v>
      </c>
      <c r="J157" s="13" t="s">
        <v>67</v>
      </c>
      <c r="K157" s="14" t="s">
        <v>826</v>
      </c>
    </row>
    <row r="158" ht="68.25" customHeight="1" spans="1:11" x14ac:dyDescent="0.25">
      <c r="A158" s="13" t="s">
        <v>827</v>
      </c>
      <c r="B158" s="13" t="s">
        <v>828</v>
      </c>
      <c r="C158" s="13" t="s">
        <v>76</v>
      </c>
      <c r="D158" s="13" t="s">
        <v>134</v>
      </c>
      <c r="E158" s="13" t="s">
        <v>155</v>
      </c>
      <c r="F158" s="14" t="s">
        <v>829</v>
      </c>
      <c r="G158" s="14" t="s">
        <v>830</v>
      </c>
      <c r="H158" s="14" t="s">
        <v>831</v>
      </c>
      <c r="I158" s="17" t="s">
        <v>59</v>
      </c>
      <c r="J158" s="13" t="s">
        <v>69</v>
      </c>
      <c r="K158" s="14" t="s">
        <v>832</v>
      </c>
    </row>
    <row r="159" ht="45.75" customHeight="1" spans="1:11" x14ac:dyDescent="0.25">
      <c r="A159" s="13" t="s">
        <v>833</v>
      </c>
      <c r="B159" s="13" t="s">
        <v>828</v>
      </c>
      <c r="C159" s="13" t="s">
        <v>76</v>
      </c>
      <c r="D159" s="13" t="s">
        <v>134</v>
      </c>
      <c r="E159" s="13" t="s">
        <v>205</v>
      </c>
      <c r="F159" s="14" t="s">
        <v>834</v>
      </c>
      <c r="G159" s="14" t="s">
        <v>835</v>
      </c>
      <c r="H159" s="14" t="s">
        <v>836</v>
      </c>
      <c r="I159" s="17" t="s">
        <v>59</v>
      </c>
      <c r="J159" s="13" t="s">
        <v>69</v>
      </c>
      <c r="K159" s="14" t="s">
        <v>837</v>
      </c>
    </row>
    <row r="160" ht="45.75" customHeight="1" spans="1:11" x14ac:dyDescent="0.25">
      <c r="A160" s="13" t="s">
        <v>838</v>
      </c>
      <c r="B160" s="13" t="s">
        <v>828</v>
      </c>
      <c r="C160" s="13" t="s">
        <v>76</v>
      </c>
      <c r="D160" s="13" t="s">
        <v>134</v>
      </c>
      <c r="E160" s="13" t="s">
        <v>205</v>
      </c>
      <c r="F160" s="14" t="s">
        <v>839</v>
      </c>
      <c r="G160" s="14" t="s">
        <v>840</v>
      </c>
      <c r="H160" s="14" t="s">
        <v>841</v>
      </c>
      <c r="I160" s="17" t="s">
        <v>59</v>
      </c>
      <c r="J160" s="13" t="s">
        <v>70</v>
      </c>
      <c r="K160" s="14" t="s">
        <v>842</v>
      </c>
    </row>
    <row r="161" ht="23.25" customHeight="1" spans="1:11" x14ac:dyDescent="0.25">
      <c r="A161" s="13" t="s">
        <v>843</v>
      </c>
      <c r="B161" s="13" t="s">
        <v>702</v>
      </c>
      <c r="C161" s="13" t="s">
        <v>85</v>
      </c>
      <c r="D161" s="13" t="s">
        <v>134</v>
      </c>
      <c r="E161" s="13" t="s">
        <v>703</v>
      </c>
      <c r="F161" s="14" t="s">
        <v>844</v>
      </c>
      <c r="G161" s="14" t="s">
        <v>845</v>
      </c>
      <c r="H161" s="14" t="s">
        <v>846</v>
      </c>
      <c r="I161" s="17" t="s">
        <v>59</v>
      </c>
      <c r="J161" s="13" t="s">
        <v>71</v>
      </c>
      <c r="K161" s="14" t="s">
        <v>847</v>
      </c>
    </row>
    <row r="162" ht="45.75" customHeight="1" spans="1:11" x14ac:dyDescent="0.25">
      <c r="A162" s="13" t="s">
        <v>848</v>
      </c>
      <c r="B162" s="13" t="s">
        <v>702</v>
      </c>
      <c r="C162" s="13" t="s">
        <v>85</v>
      </c>
      <c r="D162" s="13" t="s">
        <v>134</v>
      </c>
      <c r="E162" s="13" t="s">
        <v>703</v>
      </c>
      <c r="F162" s="14" t="s">
        <v>849</v>
      </c>
      <c r="G162" s="14" t="s">
        <v>850</v>
      </c>
      <c r="H162" s="14" t="s">
        <v>851</v>
      </c>
      <c r="I162" s="16" t="s">
        <v>62</v>
      </c>
      <c r="J162" s="13" t="s">
        <v>70</v>
      </c>
      <c r="K162" s="14" t="s">
        <v>852</v>
      </c>
    </row>
    <row r="163" ht="57" customHeight="1" spans="1:11" x14ac:dyDescent="0.25">
      <c r="A163" s="13" t="s">
        <v>853</v>
      </c>
      <c r="B163" s="13" t="s">
        <v>854</v>
      </c>
      <c r="C163" s="13" t="s">
        <v>75</v>
      </c>
      <c r="D163" s="13" t="s">
        <v>134</v>
      </c>
      <c r="E163" s="13" t="s">
        <v>135</v>
      </c>
      <c r="F163" s="14" t="s">
        <v>855</v>
      </c>
      <c r="G163" s="14" t="s">
        <v>856</v>
      </c>
      <c r="H163" s="14" t="s">
        <v>857</v>
      </c>
      <c r="I163" s="15" t="s">
        <v>58</v>
      </c>
      <c r="J163" s="13"/>
      <c r="K163" s="14" t="s">
        <v>858</v>
      </c>
    </row>
    <row r="164" ht="90.75" customHeight="1" spans="1:11" x14ac:dyDescent="0.25">
      <c r="A164" s="13" t="s">
        <v>859</v>
      </c>
      <c r="B164" s="13" t="s">
        <v>860</v>
      </c>
      <c r="C164" s="13" t="s">
        <v>83</v>
      </c>
      <c r="D164" s="13" t="s">
        <v>183</v>
      </c>
      <c r="E164" s="13" t="s">
        <v>162</v>
      </c>
      <c r="F164" s="14" t="s">
        <v>861</v>
      </c>
      <c r="G164" s="14" t="s">
        <v>862</v>
      </c>
      <c r="H164" s="14" t="s">
        <v>863</v>
      </c>
      <c r="I164" s="17" t="s">
        <v>59</v>
      </c>
      <c r="J164" s="13" t="s">
        <v>68</v>
      </c>
      <c r="K164" s="14" t="s">
        <v>864</v>
      </c>
    </row>
    <row r="165" ht="57" customHeight="1" spans="1:11" x14ac:dyDescent="0.25">
      <c r="A165" s="13" t="s">
        <v>865</v>
      </c>
      <c r="B165" s="13" t="s">
        <v>866</v>
      </c>
      <c r="C165" s="13" t="s">
        <v>77</v>
      </c>
      <c r="D165" s="13" t="s">
        <v>183</v>
      </c>
      <c r="E165" s="13" t="s">
        <v>162</v>
      </c>
      <c r="F165" s="14" t="s">
        <v>867</v>
      </c>
      <c r="G165" s="14" t="s">
        <v>868</v>
      </c>
      <c r="H165" s="14" t="s">
        <v>869</v>
      </c>
      <c r="I165" s="17" t="s">
        <v>59</v>
      </c>
      <c r="J165" s="13" t="s">
        <v>69</v>
      </c>
      <c r="K165" s="14" t="s">
        <v>870</v>
      </c>
    </row>
    <row r="166" ht="34.5" customHeight="1" spans="1:11" x14ac:dyDescent="0.25">
      <c r="A166" s="13" t="s">
        <v>871</v>
      </c>
      <c r="B166" s="13" t="s">
        <v>866</v>
      </c>
      <c r="C166" s="13" t="s">
        <v>77</v>
      </c>
      <c r="D166" s="13" t="s">
        <v>183</v>
      </c>
      <c r="E166" s="13" t="s">
        <v>162</v>
      </c>
      <c r="F166" s="14" t="s">
        <v>872</v>
      </c>
      <c r="G166" s="14" t="s">
        <v>767</v>
      </c>
      <c r="H166" s="14" t="s">
        <v>873</v>
      </c>
      <c r="I166" s="16" t="s">
        <v>62</v>
      </c>
      <c r="J166" s="13"/>
      <c r="K166" s="14" t="s">
        <v>874</v>
      </c>
    </row>
    <row r="167" ht="45.75" customHeight="1" spans="1:11" x14ac:dyDescent="0.25">
      <c r="A167" s="13" t="s">
        <v>875</v>
      </c>
      <c r="B167" s="13" t="s">
        <v>866</v>
      </c>
      <c r="C167" s="13" t="s">
        <v>77</v>
      </c>
      <c r="D167" s="13" t="s">
        <v>183</v>
      </c>
      <c r="E167" s="13" t="s">
        <v>162</v>
      </c>
      <c r="F167" s="14" t="s">
        <v>876</v>
      </c>
      <c r="G167" s="14" t="s">
        <v>767</v>
      </c>
      <c r="H167" s="14" t="s">
        <v>877</v>
      </c>
      <c r="I167" s="16" t="s">
        <v>62</v>
      </c>
      <c r="J167" s="13"/>
      <c r="K167" s="14" t="s">
        <v>878</v>
      </c>
    </row>
    <row r="168" ht="45.75" customHeight="1" spans="1:11" x14ac:dyDescent="0.25">
      <c r="A168" s="13" t="s">
        <v>879</v>
      </c>
      <c r="B168" s="13" t="s">
        <v>880</v>
      </c>
      <c r="C168" s="13" t="s">
        <v>83</v>
      </c>
      <c r="D168" s="13" t="s">
        <v>183</v>
      </c>
      <c r="E168" s="13" t="s">
        <v>162</v>
      </c>
      <c r="F168" s="14" t="s">
        <v>881</v>
      </c>
      <c r="G168" s="14" t="s">
        <v>767</v>
      </c>
      <c r="H168" s="14" t="s">
        <v>882</v>
      </c>
      <c r="I168" s="16" t="s">
        <v>62</v>
      </c>
      <c r="J168" s="13"/>
      <c r="K168" s="14" t="s">
        <v>883</v>
      </c>
    </row>
    <row r="169" ht="57" customHeight="1" spans="1:11" x14ac:dyDescent="0.25">
      <c r="A169" s="13" t="s">
        <v>884</v>
      </c>
      <c r="B169" s="13" t="s">
        <v>885</v>
      </c>
      <c r="C169" s="13" t="s">
        <v>80</v>
      </c>
      <c r="D169" s="13" t="s">
        <v>183</v>
      </c>
      <c r="E169" s="13" t="s">
        <v>162</v>
      </c>
      <c r="F169" s="14" t="s">
        <v>886</v>
      </c>
      <c r="G169" s="14" t="s">
        <v>767</v>
      </c>
      <c r="H169" s="14" t="s">
        <v>887</v>
      </c>
      <c r="I169" s="16" t="s">
        <v>62</v>
      </c>
      <c r="J169" s="13"/>
      <c r="K169" s="14" t="s">
        <v>888</v>
      </c>
    </row>
    <row r="170" ht="23.25" customHeight="1" spans="1:11" x14ac:dyDescent="0.25">
      <c r="A170" s="13" t="s">
        <v>889</v>
      </c>
      <c r="B170" s="13" t="s">
        <v>890</v>
      </c>
      <c r="C170" s="13" t="s">
        <v>76</v>
      </c>
      <c r="D170" s="13" t="s">
        <v>183</v>
      </c>
      <c r="E170" s="13" t="s">
        <v>391</v>
      </c>
      <c r="F170" s="14" t="s">
        <v>891</v>
      </c>
      <c r="G170" s="14" t="s">
        <v>892</v>
      </c>
      <c r="H170" s="14" t="s">
        <v>893</v>
      </c>
      <c r="I170" s="17" t="s">
        <v>59</v>
      </c>
      <c r="J170" s="13" t="s">
        <v>67</v>
      </c>
      <c r="K170" s="14" t="s">
        <v>894</v>
      </c>
    </row>
    <row r="171" ht="90.75" customHeight="1" spans="1:11" x14ac:dyDescent="0.25">
      <c r="A171" s="13" t="s">
        <v>895</v>
      </c>
      <c r="B171" s="13" t="s">
        <v>896</v>
      </c>
      <c r="C171" s="13" t="s">
        <v>77</v>
      </c>
      <c r="D171" s="13" t="s">
        <v>178</v>
      </c>
      <c r="E171" s="13" t="s">
        <v>155</v>
      </c>
      <c r="F171" s="14" t="s">
        <v>897</v>
      </c>
      <c r="G171" s="14" t="s">
        <v>898</v>
      </c>
      <c r="H171" s="14" t="s">
        <v>899</v>
      </c>
      <c r="I171" s="17" t="s">
        <v>59</v>
      </c>
      <c r="J171" s="13" t="s">
        <v>67</v>
      </c>
      <c r="K171" s="14" t="s">
        <v>900</v>
      </c>
    </row>
    <row r="172" ht="45.75" customHeight="1" spans="1:11" x14ac:dyDescent="0.25">
      <c r="A172" s="13" t="s">
        <v>901</v>
      </c>
      <c r="B172" s="13" t="s">
        <v>860</v>
      </c>
      <c r="C172" s="13" t="s">
        <v>83</v>
      </c>
      <c r="D172" s="13" t="s">
        <v>178</v>
      </c>
      <c r="E172" s="13" t="s">
        <v>391</v>
      </c>
      <c r="F172" s="14" t="s">
        <v>902</v>
      </c>
      <c r="G172" s="14" t="s">
        <v>903</v>
      </c>
      <c r="H172" s="14" t="s">
        <v>904</v>
      </c>
      <c r="I172" s="17" t="s">
        <v>59</v>
      </c>
      <c r="J172" s="13" t="s">
        <v>67</v>
      </c>
      <c r="K172" s="14" t="s">
        <v>905</v>
      </c>
    </row>
    <row r="173" ht="79.5" customHeight="1" spans="1:11" x14ac:dyDescent="0.25">
      <c r="A173" s="13" t="s">
        <v>906</v>
      </c>
      <c r="B173" s="13" t="s">
        <v>860</v>
      </c>
      <c r="C173" s="13" t="s">
        <v>83</v>
      </c>
      <c r="D173" s="13" t="s">
        <v>183</v>
      </c>
      <c r="E173" s="13" t="s">
        <v>162</v>
      </c>
      <c r="F173" s="14" t="s">
        <v>907</v>
      </c>
      <c r="G173" s="14" t="s">
        <v>908</v>
      </c>
      <c r="H173" s="14" t="s">
        <v>909</v>
      </c>
      <c r="I173" s="17" t="s">
        <v>59</v>
      </c>
      <c r="J173" s="13" t="s">
        <v>68</v>
      </c>
      <c r="K173" s="14" t="s">
        <v>910</v>
      </c>
    </row>
    <row r="174" ht="45.75" customHeight="1" spans="1:11" x14ac:dyDescent="0.25">
      <c r="A174" s="13" t="s">
        <v>911</v>
      </c>
      <c r="B174" s="13" t="s">
        <v>866</v>
      </c>
      <c r="C174" s="13" t="s">
        <v>77</v>
      </c>
      <c r="D174" s="13" t="s">
        <v>178</v>
      </c>
      <c r="E174" s="13" t="s">
        <v>162</v>
      </c>
      <c r="F174" s="14" t="s">
        <v>912</v>
      </c>
      <c r="G174" s="14" t="s">
        <v>767</v>
      </c>
      <c r="H174" s="14" t="s">
        <v>913</v>
      </c>
      <c r="I174" s="15" t="s">
        <v>58</v>
      </c>
      <c r="J174" s="13"/>
      <c r="K174" s="14" t="s">
        <v>914</v>
      </c>
    </row>
    <row r="175" ht="45.75" customHeight="1" spans="1:11" x14ac:dyDescent="0.25">
      <c r="A175" s="13" t="s">
        <v>915</v>
      </c>
      <c r="B175" s="13" t="s">
        <v>866</v>
      </c>
      <c r="C175" s="13" t="s">
        <v>77</v>
      </c>
      <c r="D175" s="13" t="s">
        <v>178</v>
      </c>
      <c r="E175" s="13" t="s">
        <v>162</v>
      </c>
      <c r="F175" s="14" t="s">
        <v>916</v>
      </c>
      <c r="G175" s="14" t="s">
        <v>767</v>
      </c>
      <c r="H175" s="14" t="s">
        <v>917</v>
      </c>
      <c r="I175" s="15" t="s">
        <v>58</v>
      </c>
      <c r="J175" s="13"/>
      <c r="K175" s="14" t="s">
        <v>918</v>
      </c>
    </row>
    <row r="176" ht="79.5" customHeight="1" spans="1:11" x14ac:dyDescent="0.25">
      <c r="A176" s="13" t="s">
        <v>919</v>
      </c>
      <c r="B176" s="13" t="s">
        <v>920</v>
      </c>
      <c r="C176" s="13" t="s">
        <v>79</v>
      </c>
      <c r="D176" s="13" t="s">
        <v>183</v>
      </c>
      <c r="E176" s="13" t="s">
        <v>703</v>
      </c>
      <c r="F176" s="14" t="s">
        <v>921</v>
      </c>
      <c r="G176" s="14" t="s">
        <v>922</v>
      </c>
      <c r="H176" s="14" t="s">
        <v>923</v>
      </c>
      <c r="I176" s="17" t="s">
        <v>59</v>
      </c>
      <c r="J176" s="13" t="s">
        <v>69</v>
      </c>
      <c r="K176" s="14" t="s">
        <v>924</v>
      </c>
    </row>
    <row r="177" ht="113.25" customHeight="1" spans="1:11" x14ac:dyDescent="0.25">
      <c r="A177" s="13" t="s">
        <v>925</v>
      </c>
      <c r="B177" s="13" t="s">
        <v>926</v>
      </c>
      <c r="C177" s="13" t="s">
        <v>82</v>
      </c>
      <c r="D177" s="13" t="s">
        <v>183</v>
      </c>
      <c r="E177" s="13" t="s">
        <v>205</v>
      </c>
      <c r="F177" s="14" t="s">
        <v>927</v>
      </c>
      <c r="G177" s="14" t="s">
        <v>928</v>
      </c>
      <c r="H177" s="14" t="s">
        <v>929</v>
      </c>
      <c r="I177" s="17" t="s">
        <v>59</v>
      </c>
      <c r="J177" s="13" t="s">
        <v>69</v>
      </c>
      <c r="K177" s="14" t="s">
        <v>930</v>
      </c>
    </row>
    <row r="178" ht="79.5" customHeight="1" spans="1:11" x14ac:dyDescent="0.25">
      <c r="A178" s="13" t="s">
        <v>931</v>
      </c>
      <c r="B178" s="13" t="s">
        <v>926</v>
      </c>
      <c r="C178" s="13" t="s">
        <v>82</v>
      </c>
      <c r="D178" s="13" t="s">
        <v>183</v>
      </c>
      <c r="E178" s="13" t="s">
        <v>155</v>
      </c>
      <c r="F178" s="14" t="s">
        <v>932</v>
      </c>
      <c r="G178" s="14" t="s">
        <v>933</v>
      </c>
      <c r="H178" s="14" t="s">
        <v>934</v>
      </c>
      <c r="I178" s="17" t="s">
        <v>59</v>
      </c>
      <c r="J178" s="13" t="s">
        <v>68</v>
      </c>
      <c r="K178" s="14" t="s">
        <v>935</v>
      </c>
    </row>
    <row r="179" ht="68.25" customHeight="1" spans="1:11" x14ac:dyDescent="0.25">
      <c r="A179" s="13" t="s">
        <v>936</v>
      </c>
      <c r="B179" s="13" t="s">
        <v>926</v>
      </c>
      <c r="C179" s="13" t="s">
        <v>82</v>
      </c>
      <c r="D179" s="13" t="s">
        <v>183</v>
      </c>
      <c r="E179" s="13" t="s">
        <v>162</v>
      </c>
      <c r="F179" s="14" t="s">
        <v>937</v>
      </c>
      <c r="G179" s="14" t="s">
        <v>767</v>
      </c>
      <c r="H179" s="14" t="s">
        <v>938</v>
      </c>
      <c r="I179" s="16" t="s">
        <v>62</v>
      </c>
      <c r="J179" s="13"/>
      <c r="K179" s="14" t="s">
        <v>939</v>
      </c>
    </row>
    <row r="180" ht="79.5" customHeight="1" spans="1:11" x14ac:dyDescent="0.25">
      <c r="A180" s="13" t="s">
        <v>940</v>
      </c>
      <c r="B180" s="13" t="s">
        <v>896</v>
      </c>
      <c r="C180" s="13" t="s">
        <v>77</v>
      </c>
      <c r="D180" s="13" t="s">
        <v>183</v>
      </c>
      <c r="E180" s="13" t="s">
        <v>391</v>
      </c>
      <c r="F180" s="14" t="s">
        <v>941</v>
      </c>
      <c r="G180" s="14" t="s">
        <v>942</v>
      </c>
      <c r="H180" s="14" t="s">
        <v>943</v>
      </c>
      <c r="I180" s="17" t="s">
        <v>59</v>
      </c>
      <c r="J180" s="13" t="s">
        <v>67</v>
      </c>
      <c r="K180" s="14" t="s">
        <v>944</v>
      </c>
    </row>
    <row r="181" ht="79.5" customHeight="1" spans="1:11" x14ac:dyDescent="0.25">
      <c r="A181" s="13" t="s">
        <v>945</v>
      </c>
      <c r="B181" s="13" t="s">
        <v>702</v>
      </c>
      <c r="C181" s="13" t="s">
        <v>85</v>
      </c>
      <c r="D181" s="13" t="s">
        <v>183</v>
      </c>
      <c r="E181" s="13" t="s">
        <v>703</v>
      </c>
      <c r="F181" s="14" t="s">
        <v>946</v>
      </c>
      <c r="G181" s="14" t="s">
        <v>947</v>
      </c>
      <c r="H181" s="14" t="s">
        <v>948</v>
      </c>
      <c r="I181" s="17" t="s">
        <v>59</v>
      </c>
      <c r="J181" s="13" t="s">
        <v>70</v>
      </c>
      <c r="K181" s="14" t="s">
        <v>949</v>
      </c>
    </row>
    <row r="182" ht="57" customHeight="1" spans="1:11" x14ac:dyDescent="0.25">
      <c r="A182" s="13" t="s">
        <v>950</v>
      </c>
      <c r="B182" s="13" t="s">
        <v>926</v>
      </c>
      <c r="C182" s="13" t="s">
        <v>82</v>
      </c>
      <c r="D182" s="13" t="s">
        <v>183</v>
      </c>
      <c r="E182" s="13" t="s">
        <v>162</v>
      </c>
      <c r="F182" s="14" t="s">
        <v>951</v>
      </c>
      <c r="G182" s="14" t="s">
        <v>952</v>
      </c>
      <c r="H182" s="14" t="s">
        <v>953</v>
      </c>
      <c r="I182" s="17" t="s">
        <v>59</v>
      </c>
      <c r="J182" s="13" t="s">
        <v>71</v>
      </c>
      <c r="K182" s="14" t="s">
        <v>954</v>
      </c>
    </row>
    <row r="183" ht="124.6" customHeight="1" spans="1:11" x14ac:dyDescent="0.25">
      <c r="A183" s="13" t="s">
        <v>955</v>
      </c>
      <c r="B183" s="13" t="s">
        <v>854</v>
      </c>
      <c r="C183" s="13" t="s">
        <v>75</v>
      </c>
      <c r="D183" s="13" t="s">
        <v>390</v>
      </c>
      <c r="E183" s="13" t="s">
        <v>162</v>
      </c>
      <c r="F183" s="14" t="s">
        <v>956</v>
      </c>
      <c r="G183" s="14" t="s">
        <v>957</v>
      </c>
      <c r="H183" s="14" t="s">
        <v>958</v>
      </c>
      <c r="I183" s="17" t="s">
        <v>59</v>
      </c>
      <c r="J183" s="13" t="s">
        <v>68</v>
      </c>
      <c r="K183" s="14" t="s">
        <v>959</v>
      </c>
    </row>
    <row r="184" ht="91" customHeight="1" spans="1:11" x14ac:dyDescent="0.25">
      <c r="A184" s="13" t="s">
        <v>960</v>
      </c>
      <c r="B184" s="13" t="s">
        <v>961</v>
      </c>
      <c r="C184" s="13" t="s">
        <v>84</v>
      </c>
      <c r="D184" s="13" t="s">
        <v>390</v>
      </c>
      <c r="E184" s="13" t="s">
        <v>162</v>
      </c>
      <c r="F184" s="14" t="s">
        <v>962</v>
      </c>
      <c r="G184" s="14" t="s">
        <v>963</v>
      </c>
      <c r="H184" s="14" t="s">
        <v>964</v>
      </c>
      <c r="I184" s="17" t="s">
        <v>59</v>
      </c>
      <c r="J184" s="13" t="s">
        <v>69</v>
      </c>
      <c r="K184" s="14" t="s">
        <v>965</v>
      </c>
    </row>
    <row r="185" ht="57.45" customHeight="1" spans="1:11" x14ac:dyDescent="0.25">
      <c r="A185" s="13" t="s">
        <v>966</v>
      </c>
      <c r="B185" s="13" t="s">
        <v>702</v>
      </c>
      <c r="C185" s="13" t="s">
        <v>85</v>
      </c>
      <c r="D185" s="13" t="s">
        <v>390</v>
      </c>
      <c r="E185" s="13" t="s">
        <v>703</v>
      </c>
      <c r="F185" s="14" t="s">
        <v>967</v>
      </c>
      <c r="G185" s="14" t="s">
        <v>968</v>
      </c>
      <c r="H185" s="14" t="s">
        <v>969</v>
      </c>
      <c r="I185" s="17" t="s">
        <v>59</v>
      </c>
      <c r="J185" s="13" t="s">
        <v>70</v>
      </c>
      <c r="K185" s="14" t="s">
        <v>970</v>
      </c>
    </row>
    <row r="186" ht="57.45" customHeight="1" spans="1:11" x14ac:dyDescent="0.25">
      <c r="A186" s="13" t="s">
        <v>971</v>
      </c>
      <c r="B186" s="13" t="s">
        <v>961</v>
      </c>
      <c r="C186" s="13" t="s">
        <v>84</v>
      </c>
      <c r="D186" s="13" t="s">
        <v>390</v>
      </c>
      <c r="E186" s="13" t="s">
        <v>162</v>
      </c>
      <c r="F186" s="14" t="s">
        <v>972</v>
      </c>
      <c r="G186" s="14" t="s">
        <v>767</v>
      </c>
      <c r="H186" s="14" t="s">
        <v>973</v>
      </c>
      <c r="I186" s="16" t="s">
        <v>62</v>
      </c>
      <c r="J186" s="13"/>
      <c r="K186" s="14" t="s">
        <v>974</v>
      </c>
    </row>
    <row r="187" ht="68.65" customHeight="1" spans="1:11" x14ac:dyDescent="0.25">
      <c r="A187" s="13" t="s">
        <v>975</v>
      </c>
      <c r="B187" s="13" t="s">
        <v>854</v>
      </c>
      <c r="C187" s="13" t="s">
        <v>75</v>
      </c>
      <c r="D187" s="13" t="s">
        <v>390</v>
      </c>
      <c r="E187" s="13" t="s">
        <v>162</v>
      </c>
      <c r="F187" s="14" t="s">
        <v>976</v>
      </c>
      <c r="G187" s="14" t="s">
        <v>767</v>
      </c>
      <c r="H187" s="14" t="s">
        <v>977</v>
      </c>
      <c r="I187" s="15" t="s">
        <v>58</v>
      </c>
      <c r="J187" s="13"/>
      <c r="K187" s="14" t="s">
        <v>978</v>
      </c>
    </row>
  </sheetData>
  <autoFilter ref="A1:K187"/>
  <dataValidations count="4">
    <dataValidation type="list" allowBlank="1" errorStyle="stop" sqref="I10:I155">
      <formula1>"Not run,Pass,Fail,Blocked,N/A,Observation"</formula1>
      <formula2>0</formula2>
    </dataValidation>
    <dataValidation type="list" allowBlank="1" errorStyle="stop" sqref="I2:I155">
      <formula1>"Not run,Pass,Fail,Blocked,N/A,Observation"</formula1>
      <formula2>0</formula2>
    </dataValidation>
    <dataValidation type="list" allowBlank="1" errorStyle="stop" sqref="J10:J155">
      <formula1>"Critical,High,Medium,Low,Cosmetic"</formula1>
      <formula2>0</formula2>
    </dataValidation>
    <dataValidation type="list" allowBlank="1" errorStyle="stop" sqref="J2:J155">
      <formula1>"Critical,High,Medium,Low,Cosmetic"</formula1>
      <formula2>0</formula2>
    </dataValidation>
  </dataValidations>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8.6796875"/>
  <cols>
    <col min="1" max="1" width="11" style="5" customWidth="1"/>
    <col min="2" max="2" width="13" style="5" customWidth="1"/>
    <col min="3" max="3" width="10" style="5" customWidth="1"/>
    <col min="4" max="4" width="40" style="5" customWidth="1"/>
    <col min="5" max="5" width="50" style="5" customWidth="1"/>
    <col min="6" max="7" width="38" style="5" customWidth="1"/>
    <col min="8" max="8" width="11" style="5" customWidth="1"/>
    <col min="9" max="9" width="10" style="5" customWidth="1"/>
    <col min="10" max="10" width="26" style="5" customWidth="1"/>
    <col min="11" max="11" width="12" style="5" customWidth="1"/>
    <col min="12" max="12" width="22" customWidth="1"/>
  </cols>
  <sheetData>
    <row r="1" ht="15" customHeight="1" spans="1:12" x14ac:dyDescent="0.25">
      <c r="A1" s="12" t="s">
        <v>979</v>
      </c>
      <c r="B1" s="12" t="s">
        <v>980</v>
      </c>
      <c r="C1" s="12" t="s">
        <v>123</v>
      </c>
      <c r="D1" s="12" t="s">
        <v>981</v>
      </c>
      <c r="E1" s="12" t="s">
        <v>982</v>
      </c>
      <c r="F1" s="12" t="s">
        <v>983</v>
      </c>
      <c r="G1" s="12" t="s">
        <v>984</v>
      </c>
      <c r="H1" s="12" t="s">
        <v>130</v>
      </c>
      <c r="I1" s="12" t="s">
        <v>985</v>
      </c>
      <c r="J1" s="12" t="s">
        <v>986</v>
      </c>
      <c r="K1" s="12" t="s">
        <v>129</v>
      </c>
      <c r="L1" s="18" t="s">
        <v>987</v>
      </c>
    </row>
    <row r="2" ht="78" customHeight="1" spans="1:12" x14ac:dyDescent="0.25">
      <c r="A2" s="14" t="s">
        <v>988</v>
      </c>
      <c r="B2" s="14" t="s">
        <v>989</v>
      </c>
      <c r="C2" s="14" t="s">
        <v>990</v>
      </c>
      <c r="D2" s="14" t="s">
        <v>991</v>
      </c>
      <c r="E2" s="14" t="s">
        <v>992</v>
      </c>
      <c r="F2" s="14" t="s">
        <v>993</v>
      </c>
      <c r="G2" s="14" t="s">
        <v>994</v>
      </c>
      <c r="H2" s="19" t="s">
        <v>67</v>
      </c>
      <c r="I2" s="14" t="s">
        <v>995</v>
      </c>
      <c r="J2" s="14" t="s">
        <v>996</v>
      </c>
      <c r="K2" s="14" t="s">
        <v>997</v>
      </c>
      <c r="L2" s="20" t="s">
        <v>998</v>
      </c>
    </row>
    <row r="3" ht="78" customHeight="1" spans="1:12" x14ac:dyDescent="0.25">
      <c r="A3" s="14" t="s">
        <v>999</v>
      </c>
      <c r="B3" s="14" t="s">
        <v>1000</v>
      </c>
      <c r="C3" s="14" t="s">
        <v>866</v>
      </c>
      <c r="D3" s="14" t="s">
        <v>1001</v>
      </c>
      <c r="E3" s="14" t="s">
        <v>1002</v>
      </c>
      <c r="F3" s="14" t="s">
        <v>1003</v>
      </c>
      <c r="G3" s="14" t="s">
        <v>1004</v>
      </c>
      <c r="H3" s="21" t="s">
        <v>69</v>
      </c>
      <c r="I3" s="14" t="s">
        <v>1005</v>
      </c>
      <c r="J3" s="14" t="s">
        <v>1006</v>
      </c>
      <c r="K3" s="14" t="s">
        <v>997</v>
      </c>
      <c r="L3" s="20" t="s">
        <v>1007</v>
      </c>
    </row>
    <row r="4" ht="78" customHeight="1" spans="1:12" x14ac:dyDescent="0.25">
      <c r="A4" s="14" t="s">
        <v>1008</v>
      </c>
      <c r="B4" s="14" t="s">
        <v>317</v>
      </c>
      <c r="C4" s="14" t="s">
        <v>866</v>
      </c>
      <c r="D4" s="14" t="s">
        <v>1009</v>
      </c>
      <c r="E4" s="14" t="s">
        <v>1010</v>
      </c>
      <c r="F4" s="14" t="s">
        <v>1011</v>
      </c>
      <c r="G4" s="14" t="s">
        <v>1012</v>
      </c>
      <c r="H4" s="22" t="s">
        <v>70</v>
      </c>
      <c r="I4" s="14" t="s">
        <v>1013</v>
      </c>
      <c r="J4" s="14" t="s">
        <v>1014</v>
      </c>
      <c r="K4" s="14" t="s">
        <v>1015</v>
      </c>
      <c r="L4" s="20" t="s">
        <v>1016</v>
      </c>
    </row>
    <row r="5" ht="78" customHeight="1" spans="1:12" x14ac:dyDescent="0.25">
      <c r="A5" s="14" t="s">
        <v>1017</v>
      </c>
      <c r="B5" s="14" t="s">
        <v>274</v>
      </c>
      <c r="C5" s="14" t="s">
        <v>890</v>
      </c>
      <c r="D5" s="14" t="s">
        <v>1018</v>
      </c>
      <c r="E5" s="14" t="s">
        <v>1019</v>
      </c>
      <c r="F5" s="14" t="s">
        <v>1020</v>
      </c>
      <c r="G5" s="14" t="s">
        <v>1021</v>
      </c>
      <c r="H5" s="21" t="s">
        <v>69</v>
      </c>
      <c r="I5" s="14" t="s">
        <v>1005</v>
      </c>
      <c r="J5" s="14" t="s">
        <v>1022</v>
      </c>
      <c r="K5" s="14" t="s">
        <v>997</v>
      </c>
      <c r="L5" s="20" t="s">
        <v>1023</v>
      </c>
    </row>
    <row r="6" ht="78" customHeight="1" spans="1:12" x14ac:dyDescent="0.25">
      <c r="A6" s="14" t="s">
        <v>1024</v>
      </c>
      <c r="B6" s="14" t="s">
        <v>218</v>
      </c>
      <c r="C6" s="14" t="s">
        <v>828</v>
      </c>
      <c r="D6" s="14" t="s">
        <v>1025</v>
      </c>
      <c r="E6" s="14" t="s">
        <v>1026</v>
      </c>
      <c r="F6" s="14" t="s">
        <v>1027</v>
      </c>
      <c r="G6" s="14" t="s">
        <v>1028</v>
      </c>
      <c r="H6" s="21" t="s">
        <v>69</v>
      </c>
      <c r="I6" s="14" t="s">
        <v>1005</v>
      </c>
      <c r="J6" s="14" t="s">
        <v>767</v>
      </c>
      <c r="K6" s="14" t="s">
        <v>997</v>
      </c>
      <c r="L6" s="20" t="s">
        <v>1029</v>
      </c>
    </row>
    <row r="7" ht="78" customHeight="1" spans="1:12" x14ac:dyDescent="0.25">
      <c r="A7" s="14" t="s">
        <v>1030</v>
      </c>
      <c r="B7" s="14" t="s">
        <v>833</v>
      </c>
      <c r="C7" s="14" t="s">
        <v>828</v>
      </c>
      <c r="D7" s="14" t="s">
        <v>1031</v>
      </c>
      <c r="E7" s="14" t="s">
        <v>1032</v>
      </c>
      <c r="F7" s="14" t="s">
        <v>1033</v>
      </c>
      <c r="G7" s="14" t="s">
        <v>1034</v>
      </c>
      <c r="H7" s="21" t="s">
        <v>69</v>
      </c>
      <c r="I7" s="14" t="s">
        <v>1005</v>
      </c>
      <c r="J7" s="14" t="s">
        <v>1006</v>
      </c>
      <c r="K7" s="14" t="s">
        <v>997</v>
      </c>
      <c r="L7" s="20" t="s">
        <v>1035</v>
      </c>
    </row>
    <row r="8" ht="78" customHeight="1" spans="1:12" x14ac:dyDescent="0.25">
      <c r="A8" s="14" t="s">
        <v>1036</v>
      </c>
      <c r="B8" s="14" t="s">
        <v>827</v>
      </c>
      <c r="C8" s="14" t="s">
        <v>828</v>
      </c>
      <c r="D8" s="14" t="s">
        <v>1037</v>
      </c>
      <c r="E8" s="14" t="s">
        <v>1038</v>
      </c>
      <c r="F8" s="14" t="s">
        <v>1039</v>
      </c>
      <c r="G8" s="14" t="s">
        <v>1040</v>
      </c>
      <c r="H8" s="21" t="s">
        <v>69</v>
      </c>
      <c r="I8" s="14" t="s">
        <v>1041</v>
      </c>
      <c r="J8" s="14" t="s">
        <v>1006</v>
      </c>
      <c r="K8" s="14" t="s">
        <v>997</v>
      </c>
      <c r="L8" s="20" t="s">
        <v>1023</v>
      </c>
    </row>
    <row r="9" ht="78" customHeight="1" spans="1:12" x14ac:dyDescent="0.25">
      <c r="A9" s="14" t="s">
        <v>1042</v>
      </c>
      <c r="B9" s="14" t="s">
        <v>232</v>
      </c>
      <c r="C9" s="14" t="s">
        <v>828</v>
      </c>
      <c r="D9" s="14" t="s">
        <v>1043</v>
      </c>
      <c r="E9" s="14" t="s">
        <v>1044</v>
      </c>
      <c r="F9" s="14" t="s">
        <v>1045</v>
      </c>
      <c r="G9" s="14" t="s">
        <v>1046</v>
      </c>
      <c r="H9" s="21" t="s">
        <v>69</v>
      </c>
      <c r="I9" s="14" t="s">
        <v>1041</v>
      </c>
      <c r="J9" s="14" t="s">
        <v>1047</v>
      </c>
      <c r="K9" s="14" t="s">
        <v>997</v>
      </c>
      <c r="L9" s="20" t="s">
        <v>1048</v>
      </c>
    </row>
    <row r="10" ht="78" customHeight="1" spans="1:12" x14ac:dyDescent="0.25">
      <c r="A10" s="14" t="s">
        <v>1049</v>
      </c>
      <c r="B10" s="14" t="s">
        <v>293</v>
      </c>
      <c r="C10" s="14" t="s">
        <v>890</v>
      </c>
      <c r="D10" s="14" t="s">
        <v>1050</v>
      </c>
      <c r="E10" s="14" t="s">
        <v>1051</v>
      </c>
      <c r="F10" s="14" t="s">
        <v>1052</v>
      </c>
      <c r="G10" s="14" t="s">
        <v>1053</v>
      </c>
      <c r="H10" s="21" t="s">
        <v>69</v>
      </c>
      <c r="I10" s="14" t="s">
        <v>1041</v>
      </c>
      <c r="J10" s="14" t="s">
        <v>1014</v>
      </c>
      <c r="K10" s="14" t="s">
        <v>997</v>
      </c>
      <c r="L10" s="20" t="s">
        <v>1054</v>
      </c>
    </row>
    <row r="11" ht="78" customHeight="1" spans="1:12" x14ac:dyDescent="0.25">
      <c r="A11" s="14" t="s">
        <v>49</v>
      </c>
      <c r="B11" s="14" t="s">
        <v>1055</v>
      </c>
      <c r="C11" s="14" t="s">
        <v>854</v>
      </c>
      <c r="D11" s="14" t="s">
        <v>1056</v>
      </c>
      <c r="E11" s="14" t="s">
        <v>1057</v>
      </c>
      <c r="F11" s="14" t="s">
        <v>1058</v>
      </c>
      <c r="G11" s="14" t="s">
        <v>1059</v>
      </c>
      <c r="H11" s="21" t="s">
        <v>69</v>
      </c>
      <c r="I11" s="14" t="s">
        <v>1005</v>
      </c>
      <c r="J11" s="14" t="s">
        <v>767</v>
      </c>
      <c r="K11" s="14" t="s">
        <v>1060</v>
      </c>
      <c r="L11" s="20" t="s">
        <v>1061</v>
      </c>
    </row>
    <row r="12" ht="78" customHeight="1" spans="1:12" x14ac:dyDescent="0.25">
      <c r="A12" s="14" t="s">
        <v>1062</v>
      </c>
      <c r="B12" s="14" t="s">
        <v>838</v>
      </c>
      <c r="C12" s="14" t="s">
        <v>828</v>
      </c>
      <c r="D12" s="14" t="s">
        <v>1063</v>
      </c>
      <c r="E12" s="14" t="s">
        <v>1064</v>
      </c>
      <c r="F12" s="14" t="s">
        <v>1065</v>
      </c>
      <c r="G12" s="14" t="s">
        <v>1066</v>
      </c>
      <c r="H12" s="22" t="s">
        <v>70</v>
      </c>
      <c r="I12" s="14" t="s">
        <v>1041</v>
      </c>
      <c r="J12" s="14" t="s">
        <v>767</v>
      </c>
      <c r="K12" s="14" t="s">
        <v>997</v>
      </c>
      <c r="L12" s="20" t="s">
        <v>1048</v>
      </c>
    </row>
    <row r="13" ht="78" customHeight="1" spans="1:12" x14ac:dyDescent="0.25">
      <c r="A13" s="14" t="s">
        <v>1067</v>
      </c>
      <c r="B13" s="14" t="s">
        <v>1068</v>
      </c>
      <c r="C13" s="14" t="s">
        <v>702</v>
      </c>
      <c r="D13" s="14" t="s">
        <v>1069</v>
      </c>
      <c r="E13" s="14" t="s">
        <v>1070</v>
      </c>
      <c r="F13" s="14" t="s">
        <v>1071</v>
      </c>
      <c r="G13" s="14" t="s">
        <v>1072</v>
      </c>
      <c r="H13" s="22" t="s">
        <v>70</v>
      </c>
      <c r="I13" s="14" t="s">
        <v>1041</v>
      </c>
      <c r="J13" s="14" t="s">
        <v>767</v>
      </c>
      <c r="K13" s="14" t="s">
        <v>997</v>
      </c>
      <c r="L13" s="20" t="s">
        <v>1073</v>
      </c>
    </row>
    <row r="14" ht="78" customHeight="1" spans="1:12" x14ac:dyDescent="0.25">
      <c r="A14" s="14" t="s">
        <v>1074</v>
      </c>
      <c r="B14" s="14" t="s">
        <v>848</v>
      </c>
      <c r="C14" s="14" t="s">
        <v>702</v>
      </c>
      <c r="D14" s="14" t="s">
        <v>1075</v>
      </c>
      <c r="E14" s="14" t="s">
        <v>1076</v>
      </c>
      <c r="F14" s="14" t="s">
        <v>1077</v>
      </c>
      <c r="G14" s="14" t="s">
        <v>1078</v>
      </c>
      <c r="H14" s="22" t="s">
        <v>70</v>
      </c>
      <c r="I14" s="14" t="s">
        <v>1013</v>
      </c>
      <c r="J14" s="14" t="s">
        <v>767</v>
      </c>
      <c r="K14" s="14" t="s">
        <v>997</v>
      </c>
      <c r="L14" s="20" t="s">
        <v>1079</v>
      </c>
    </row>
    <row r="15" ht="78" customHeight="1" spans="1:12" x14ac:dyDescent="0.25">
      <c r="A15" s="14" t="s">
        <v>1080</v>
      </c>
      <c r="B15" s="14" t="s">
        <v>701</v>
      </c>
      <c r="C15" s="14" t="s">
        <v>702</v>
      </c>
      <c r="D15" s="14" t="s">
        <v>1081</v>
      </c>
      <c r="E15" s="14" t="s">
        <v>1082</v>
      </c>
      <c r="F15" s="14" t="s">
        <v>1083</v>
      </c>
      <c r="G15" s="14" t="s">
        <v>1084</v>
      </c>
      <c r="H15" s="23" t="s">
        <v>71</v>
      </c>
      <c r="I15" s="14" t="s">
        <v>1013</v>
      </c>
      <c r="J15" s="14" t="s">
        <v>767</v>
      </c>
      <c r="K15" s="14" t="s">
        <v>997</v>
      </c>
      <c r="L15" s="20" t="s">
        <v>1085</v>
      </c>
    </row>
    <row r="16" ht="78" customHeight="1" spans="1:12" x14ac:dyDescent="0.25">
      <c r="A16" s="14" t="s">
        <v>1086</v>
      </c>
      <c r="B16" s="14" t="s">
        <v>728</v>
      </c>
      <c r="C16" s="14" t="s">
        <v>702</v>
      </c>
      <c r="D16" s="14" t="s">
        <v>1087</v>
      </c>
      <c r="E16" s="14" t="s">
        <v>1088</v>
      </c>
      <c r="F16" s="14" t="s">
        <v>1089</v>
      </c>
      <c r="G16" s="14" t="s">
        <v>1090</v>
      </c>
      <c r="H16" s="23" t="s">
        <v>71</v>
      </c>
      <c r="I16" s="14" t="s">
        <v>1013</v>
      </c>
      <c r="J16" s="14" t="s">
        <v>767</v>
      </c>
      <c r="K16" s="14" t="s">
        <v>997</v>
      </c>
      <c r="L16" s="20" t="s">
        <v>1091</v>
      </c>
    </row>
    <row r="17" ht="78" customHeight="1" spans="1:12" x14ac:dyDescent="0.25">
      <c r="A17" s="14" t="s">
        <v>1092</v>
      </c>
      <c r="B17" s="14" t="s">
        <v>708</v>
      </c>
      <c r="C17" s="14" t="s">
        <v>702</v>
      </c>
      <c r="D17" s="14" t="s">
        <v>1093</v>
      </c>
      <c r="E17" s="14" t="s">
        <v>1094</v>
      </c>
      <c r="F17" s="14" t="s">
        <v>1095</v>
      </c>
      <c r="G17" s="14" t="s">
        <v>1096</v>
      </c>
      <c r="H17" s="23" t="s">
        <v>71</v>
      </c>
      <c r="I17" s="14" t="s">
        <v>1013</v>
      </c>
      <c r="J17" s="14" t="s">
        <v>767</v>
      </c>
      <c r="K17" s="14" t="s">
        <v>997</v>
      </c>
      <c r="L17" s="20" t="s">
        <v>1085</v>
      </c>
    </row>
    <row r="18" ht="78" customHeight="1" spans="1:12" x14ac:dyDescent="0.25">
      <c r="A18" s="14" t="s">
        <v>1097</v>
      </c>
      <c r="B18" s="14" t="s">
        <v>746</v>
      </c>
      <c r="C18" s="14" t="s">
        <v>702</v>
      </c>
      <c r="D18" s="14" t="s">
        <v>1098</v>
      </c>
      <c r="E18" s="14" t="s">
        <v>1099</v>
      </c>
      <c r="F18" s="14" t="s">
        <v>1100</v>
      </c>
      <c r="G18" s="14" t="s">
        <v>1101</v>
      </c>
      <c r="H18" s="23" t="s">
        <v>71</v>
      </c>
      <c r="I18" s="14" t="s">
        <v>1013</v>
      </c>
      <c r="J18" s="14" t="s">
        <v>767</v>
      </c>
      <c r="K18" s="14" t="s">
        <v>997</v>
      </c>
      <c r="L18" s="20" t="s">
        <v>1102</v>
      </c>
    </row>
    <row r="19" ht="78" customHeight="1" spans="1:12" x14ac:dyDescent="0.25">
      <c r="A19" s="14" t="s">
        <v>1103</v>
      </c>
      <c r="B19" s="14" t="s">
        <v>843</v>
      </c>
      <c r="C19" s="14" t="s">
        <v>702</v>
      </c>
      <c r="D19" s="14" t="s">
        <v>1104</v>
      </c>
      <c r="E19" s="14" t="s">
        <v>1105</v>
      </c>
      <c r="F19" s="14" t="s">
        <v>1106</v>
      </c>
      <c r="G19" s="14" t="s">
        <v>1107</v>
      </c>
      <c r="H19" s="23" t="s">
        <v>71</v>
      </c>
      <c r="I19" s="14" t="s">
        <v>1013</v>
      </c>
      <c r="J19" s="14" t="s">
        <v>767</v>
      </c>
      <c r="K19" s="14" t="s">
        <v>997</v>
      </c>
      <c r="L19" s="20" t="s">
        <v>1085</v>
      </c>
    </row>
    <row r="20" ht="78" customHeight="1" spans="1:12" x14ac:dyDescent="0.25">
      <c r="A20" s="14" t="s">
        <v>1108</v>
      </c>
      <c r="B20" s="14" t="s">
        <v>859</v>
      </c>
      <c r="C20" s="14" t="s">
        <v>860</v>
      </c>
      <c r="D20" s="14" t="s">
        <v>1109</v>
      </c>
      <c r="E20" s="14" t="s">
        <v>1110</v>
      </c>
      <c r="F20" s="14" t="s">
        <v>1111</v>
      </c>
      <c r="G20" s="14" t="s">
        <v>1112</v>
      </c>
      <c r="H20" s="24" t="s">
        <v>68</v>
      </c>
      <c r="I20" s="14" t="s">
        <v>995</v>
      </c>
      <c r="J20" s="14" t="s">
        <v>1113</v>
      </c>
      <c r="K20" s="14" t="s">
        <v>997</v>
      </c>
      <c r="L20" s="20" t="s">
        <v>1114</v>
      </c>
    </row>
    <row r="21" ht="78" customHeight="1" spans="1:12" x14ac:dyDescent="0.25">
      <c r="A21" s="14" t="s">
        <v>1115</v>
      </c>
      <c r="B21" s="14" t="s">
        <v>865</v>
      </c>
      <c r="C21" s="14" t="s">
        <v>866</v>
      </c>
      <c r="D21" s="14" t="s">
        <v>1116</v>
      </c>
      <c r="E21" s="14" t="s">
        <v>1117</v>
      </c>
      <c r="F21" s="14" t="s">
        <v>868</v>
      </c>
      <c r="G21" s="14" t="s">
        <v>1118</v>
      </c>
      <c r="H21" s="21" t="s">
        <v>69</v>
      </c>
      <c r="I21" s="14" t="s">
        <v>1005</v>
      </c>
      <c r="J21" s="14" t="s">
        <v>1119</v>
      </c>
      <c r="K21" s="14" t="s">
        <v>997</v>
      </c>
      <c r="L21" s="20" t="s">
        <v>1035</v>
      </c>
    </row>
    <row r="22" ht="78" customHeight="1" spans="1:12" x14ac:dyDescent="0.25">
      <c r="A22" s="14" t="s">
        <v>1120</v>
      </c>
      <c r="B22" s="14" t="s">
        <v>1121</v>
      </c>
      <c r="C22" s="14" t="s">
        <v>896</v>
      </c>
      <c r="D22" s="14" t="s">
        <v>1122</v>
      </c>
      <c r="E22" s="14" t="s">
        <v>1123</v>
      </c>
      <c r="F22" s="14" t="s">
        <v>1124</v>
      </c>
      <c r="G22" s="14" t="s">
        <v>1125</v>
      </c>
      <c r="H22" s="19" t="s">
        <v>67</v>
      </c>
      <c r="I22" s="14" t="s">
        <v>995</v>
      </c>
      <c r="J22" s="14" t="s">
        <v>1014</v>
      </c>
      <c r="K22" s="14" t="s">
        <v>997</v>
      </c>
      <c r="L22" s="20" t="s">
        <v>1126</v>
      </c>
    </row>
    <row r="23" ht="78" customHeight="1" spans="1:12" x14ac:dyDescent="0.25">
      <c r="A23" s="14" t="s">
        <v>1127</v>
      </c>
      <c r="B23" s="14" t="s">
        <v>906</v>
      </c>
      <c r="C23" s="14" t="s">
        <v>860</v>
      </c>
      <c r="D23" s="14" t="s">
        <v>1128</v>
      </c>
      <c r="E23" s="14" t="s">
        <v>1129</v>
      </c>
      <c r="F23" s="14" t="s">
        <v>1130</v>
      </c>
      <c r="G23" s="14" t="s">
        <v>1131</v>
      </c>
      <c r="H23" s="24" t="s">
        <v>68</v>
      </c>
      <c r="I23" s="14" t="s">
        <v>995</v>
      </c>
      <c r="J23" s="14" t="s">
        <v>1132</v>
      </c>
      <c r="K23" s="14" t="s">
        <v>997</v>
      </c>
      <c r="L23" s="20" t="s">
        <v>1133</v>
      </c>
    </row>
    <row r="24" ht="78" customHeight="1" spans="1:12" x14ac:dyDescent="0.25">
      <c r="A24" s="14" t="s">
        <v>1134</v>
      </c>
      <c r="B24" s="14" t="s">
        <v>367</v>
      </c>
      <c r="C24" s="14" t="s">
        <v>866</v>
      </c>
      <c r="D24" s="14" t="s">
        <v>1135</v>
      </c>
      <c r="E24" s="14" t="s">
        <v>1136</v>
      </c>
      <c r="F24" s="14" t="s">
        <v>1137</v>
      </c>
      <c r="G24" s="14" t="s">
        <v>1138</v>
      </c>
      <c r="H24" s="24" t="s">
        <v>68</v>
      </c>
      <c r="I24" s="14" t="s">
        <v>1005</v>
      </c>
      <c r="J24" s="14" t="s">
        <v>767</v>
      </c>
      <c r="K24" s="14" t="s">
        <v>997</v>
      </c>
      <c r="L24" s="20" t="s">
        <v>1139</v>
      </c>
    </row>
    <row r="25" ht="78" customHeight="1" spans="1:12" x14ac:dyDescent="0.25">
      <c r="A25" s="14" t="s">
        <v>1140</v>
      </c>
      <c r="B25" s="14" t="s">
        <v>931</v>
      </c>
      <c r="C25" s="14" t="s">
        <v>926</v>
      </c>
      <c r="D25" s="14" t="s">
        <v>1141</v>
      </c>
      <c r="E25" s="14" t="s">
        <v>1142</v>
      </c>
      <c r="F25" s="14" t="s">
        <v>1143</v>
      </c>
      <c r="G25" s="14" t="s">
        <v>1144</v>
      </c>
      <c r="H25" s="24" t="s">
        <v>68</v>
      </c>
      <c r="I25" s="14" t="s">
        <v>995</v>
      </c>
      <c r="J25" s="14" t="s">
        <v>1145</v>
      </c>
      <c r="K25" s="14" t="s">
        <v>997</v>
      </c>
      <c r="L25" s="20" t="s">
        <v>1146</v>
      </c>
    </row>
    <row r="26" ht="78" customHeight="1" spans="1:12" x14ac:dyDescent="0.25">
      <c r="A26" s="14" t="s">
        <v>1147</v>
      </c>
      <c r="B26" s="14" t="s">
        <v>1148</v>
      </c>
      <c r="C26" s="14" t="s">
        <v>920</v>
      </c>
      <c r="D26" s="14" t="s">
        <v>1149</v>
      </c>
      <c r="E26" s="14" t="s">
        <v>1150</v>
      </c>
      <c r="F26" s="14" t="s">
        <v>1151</v>
      </c>
      <c r="G26" s="14" t="s">
        <v>1152</v>
      </c>
      <c r="H26" s="21" t="s">
        <v>69</v>
      </c>
      <c r="I26" s="14" t="s">
        <v>1005</v>
      </c>
      <c r="J26" s="14" t="s">
        <v>1014</v>
      </c>
      <c r="K26" s="14" t="s">
        <v>997</v>
      </c>
      <c r="L26" s="20" t="s">
        <v>1153</v>
      </c>
    </row>
    <row r="27" ht="78" customHeight="1" spans="1:12" x14ac:dyDescent="0.25">
      <c r="A27" s="14" t="s">
        <v>1154</v>
      </c>
      <c r="B27" s="14" t="s">
        <v>925</v>
      </c>
      <c r="C27" s="14" t="s">
        <v>926</v>
      </c>
      <c r="D27" s="14" t="s">
        <v>1155</v>
      </c>
      <c r="E27" s="14" t="s">
        <v>1156</v>
      </c>
      <c r="F27" s="14" t="s">
        <v>1157</v>
      </c>
      <c r="G27" s="14" t="s">
        <v>1158</v>
      </c>
      <c r="H27" s="21" t="s">
        <v>69</v>
      </c>
      <c r="I27" s="14" t="s">
        <v>1005</v>
      </c>
      <c r="J27" s="14" t="s">
        <v>1145</v>
      </c>
      <c r="K27" s="14" t="s">
        <v>997</v>
      </c>
      <c r="L27" s="20" t="s">
        <v>1153</v>
      </c>
    </row>
    <row r="28" ht="78" customHeight="1" spans="1:12" x14ac:dyDescent="0.25">
      <c r="A28" s="14" t="s">
        <v>1159</v>
      </c>
      <c r="B28" s="14" t="s">
        <v>602</v>
      </c>
      <c r="C28" s="14" t="s">
        <v>926</v>
      </c>
      <c r="D28" s="14" t="s">
        <v>1160</v>
      </c>
      <c r="E28" s="14" t="s">
        <v>1161</v>
      </c>
      <c r="F28" s="14" t="s">
        <v>1162</v>
      </c>
      <c r="G28" s="14" t="s">
        <v>1163</v>
      </c>
      <c r="H28" s="21" t="s">
        <v>69</v>
      </c>
      <c r="I28" s="14" t="s">
        <v>1041</v>
      </c>
      <c r="J28" s="14" t="s">
        <v>1145</v>
      </c>
      <c r="K28" s="14" t="s">
        <v>997</v>
      </c>
      <c r="L28" s="20" t="s">
        <v>1164</v>
      </c>
    </row>
    <row r="29" ht="78" customHeight="1" spans="1:12" x14ac:dyDescent="0.25">
      <c r="A29" s="14" t="s">
        <v>1165</v>
      </c>
      <c r="B29" s="14" t="s">
        <v>950</v>
      </c>
      <c r="C29" s="14" t="s">
        <v>926</v>
      </c>
      <c r="D29" s="14" t="s">
        <v>1166</v>
      </c>
      <c r="E29" s="14" t="s">
        <v>1167</v>
      </c>
      <c r="F29" s="14" t="s">
        <v>1168</v>
      </c>
      <c r="G29" s="14" t="s">
        <v>1169</v>
      </c>
      <c r="H29" s="23" t="s">
        <v>71</v>
      </c>
      <c r="I29" s="14" t="s">
        <v>1013</v>
      </c>
      <c r="J29" s="14" t="s">
        <v>1145</v>
      </c>
      <c r="K29" s="14" t="s">
        <v>997</v>
      </c>
      <c r="L29" s="20" t="s">
        <v>1164</v>
      </c>
    </row>
    <row r="30" ht="78" customHeight="1" spans="1:12" x14ac:dyDescent="0.25">
      <c r="A30" s="14" t="s">
        <v>1170</v>
      </c>
      <c r="B30" s="14" t="s">
        <v>955</v>
      </c>
      <c r="C30" s="14" t="s">
        <v>854</v>
      </c>
      <c r="D30" s="14" t="s">
        <v>1171</v>
      </c>
      <c r="E30" s="14" t="s">
        <v>1172</v>
      </c>
      <c r="F30" s="14" t="s">
        <v>1173</v>
      </c>
      <c r="G30" s="14" t="s">
        <v>1174</v>
      </c>
      <c r="H30" s="24" t="s">
        <v>68</v>
      </c>
      <c r="I30" s="14" t="s">
        <v>995</v>
      </c>
      <c r="J30" s="14" t="s">
        <v>1175</v>
      </c>
      <c r="K30" s="14" t="s">
        <v>997</v>
      </c>
      <c r="L30" s="20" t="s">
        <v>1176</v>
      </c>
    </row>
    <row r="31" ht="78" customHeight="1" spans="1:12" x14ac:dyDescent="0.25">
      <c r="A31" s="14" t="s">
        <v>1177</v>
      </c>
      <c r="B31" s="14" t="s">
        <v>960</v>
      </c>
      <c r="C31" s="14" t="s">
        <v>961</v>
      </c>
      <c r="D31" s="14" t="s">
        <v>1178</v>
      </c>
      <c r="E31" s="14" t="s">
        <v>1179</v>
      </c>
      <c r="F31" s="14" t="s">
        <v>1180</v>
      </c>
      <c r="G31" s="14" t="s">
        <v>1181</v>
      </c>
      <c r="H31" s="21" t="s">
        <v>69</v>
      </c>
      <c r="I31" s="14" t="s">
        <v>1041</v>
      </c>
      <c r="J31" s="14" t="s">
        <v>1175</v>
      </c>
      <c r="K31" s="14" t="s">
        <v>1182</v>
      </c>
      <c r="L31" s="20" t="s">
        <v>1183</v>
      </c>
    </row>
    <row r="32" ht="78" customHeight="1" spans="1:12" x14ac:dyDescent="0.25">
      <c r="A32" s="14" t="s">
        <v>1184</v>
      </c>
      <c r="B32" s="14" t="s">
        <v>966</v>
      </c>
      <c r="C32" s="14" t="s">
        <v>702</v>
      </c>
      <c r="D32" s="14" t="s">
        <v>1185</v>
      </c>
      <c r="E32" s="14" t="s">
        <v>1186</v>
      </c>
      <c r="F32" s="14" t="s">
        <v>1187</v>
      </c>
      <c r="G32" s="14" t="s">
        <v>1188</v>
      </c>
      <c r="H32" s="22" t="s">
        <v>70</v>
      </c>
      <c r="I32" s="14" t="s">
        <v>1013</v>
      </c>
      <c r="J32" s="14" t="s">
        <v>1189</v>
      </c>
      <c r="K32" s="14" t="s">
        <v>997</v>
      </c>
      <c r="L32" s="20" t="s">
        <v>1190</v>
      </c>
    </row>
  </sheetData>
  <dataValidations count="4">
    <dataValidation type="list" allowBlank="1" errorStyle="stop" sqref="H10:H400">
      <formula1>"Critical,High,Medium,Low,Cosmetic"</formula1>
      <formula2>0</formula2>
    </dataValidation>
    <dataValidation type="list" allowBlank="1" errorStyle="stop" sqref="H2:H400">
      <formula1>"Critical,High,Medium,Low,Cosmetic"</formula1>
      <formula2>0</formula2>
    </dataValidation>
    <dataValidation type="list" allowBlank="1" errorStyle="stop" sqref="K10:K400">
      <formula1>"Open,Confirmed,Fixed,Deferred,Not a defect"</formula1>
      <formula2>0</formula2>
    </dataValidation>
    <dataValidation type="list" allowBlank="1" errorStyle="stop" sqref="K2:K400">
      <formula1>"Open,Confirmed,Fixed,Deferred,Not a defect"</formula1>
      <formula2>0</formula2>
    </dataValidation>
  </dataValidations>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workbookViewId="0" zoomScale="100" zoomScaleNormal="100" view="normal">
      <pane ySplit="4" topLeftCell="A5" activePane="bottomLeft" state="frozen"/>
      <selection pane="bottomLeft" activeCell="A1" sqref="A1"/>
    </sheetView>
  </sheetViews>
  <sheetFormatPr defaultRowHeight="15" outlineLevelRow="0" outlineLevelCol="0" x14ac:dyDescent="0" defaultColWidth="8.6796875"/>
  <cols>
    <col min="1" max="1" width="5" style="5" customWidth="1"/>
    <col min="2" max="2" width="20" style="5" customWidth="1"/>
    <col min="3" max="3" width="22" style="5" customWidth="1"/>
    <col min="4" max="4" width="16" style="5" customWidth="1"/>
    <col min="5" max="6" width="40" style="5" customWidth="1"/>
  </cols>
  <sheetData>
    <row r="1" ht="15" customHeight="1" spans="1:1" x14ac:dyDescent="0.25">
      <c r="A1" s="25" t="s">
        <v>1191</v>
      </c>
    </row>
    <row r="2" ht="15" customHeight="1" spans="1:1" x14ac:dyDescent="0.25">
      <c r="A2" s="7" t="s">
        <v>1192</v>
      </c>
    </row>
    <row r="4" ht="15" customHeight="1" spans="1:6" x14ac:dyDescent="0.25">
      <c r="A4" s="10" t="s">
        <v>1193</v>
      </c>
      <c r="B4" s="10" t="s">
        <v>1194</v>
      </c>
      <c r="C4" s="10" t="s">
        <v>1195</v>
      </c>
      <c r="D4" s="10" t="s">
        <v>1196</v>
      </c>
      <c r="E4" s="10" t="s">
        <v>1197</v>
      </c>
      <c r="F4" s="10" t="s">
        <v>1198</v>
      </c>
    </row>
    <row r="5" ht="23.25" customHeight="1" spans="1:6" x14ac:dyDescent="0.25">
      <c r="A5" s="14">
        <v>1</v>
      </c>
      <c r="B5" s="14" t="s">
        <v>1199</v>
      </c>
      <c r="C5" s="14" t="s">
        <v>1047</v>
      </c>
      <c r="D5" s="14" t="s">
        <v>134</v>
      </c>
      <c r="E5" s="14" t="s">
        <v>1200</v>
      </c>
      <c r="F5" s="14" t="s">
        <v>1201</v>
      </c>
    </row>
    <row r="6" ht="23.25" customHeight="1" spans="1:6" x14ac:dyDescent="0.25">
      <c r="A6" s="14">
        <v>2</v>
      </c>
      <c r="B6" s="14" t="s">
        <v>1199</v>
      </c>
      <c r="C6" s="14" t="s">
        <v>1014</v>
      </c>
      <c r="D6" s="14" t="s">
        <v>134</v>
      </c>
      <c r="E6" s="14" t="s">
        <v>1202</v>
      </c>
      <c r="F6" s="14" t="s">
        <v>1203</v>
      </c>
    </row>
    <row r="7" ht="23.25" customHeight="1" spans="1:6" x14ac:dyDescent="0.25">
      <c r="A7" s="14">
        <v>3</v>
      </c>
      <c r="B7" s="14" t="s">
        <v>1199</v>
      </c>
      <c r="C7" s="14" t="s">
        <v>1204</v>
      </c>
      <c r="D7" s="14" t="s">
        <v>134</v>
      </c>
      <c r="E7" s="14" t="s">
        <v>1205</v>
      </c>
      <c r="F7" s="14" t="s">
        <v>1201</v>
      </c>
    </row>
    <row r="8" ht="23.25" customHeight="1" spans="1:6" x14ac:dyDescent="0.25">
      <c r="A8" s="14">
        <v>4</v>
      </c>
      <c r="B8" s="14" t="s">
        <v>1199</v>
      </c>
      <c r="C8" s="14" t="s">
        <v>1206</v>
      </c>
      <c r="D8" s="14" t="s">
        <v>134</v>
      </c>
      <c r="E8" s="14" t="s">
        <v>1207</v>
      </c>
      <c r="F8" s="14" t="s">
        <v>1203</v>
      </c>
    </row>
    <row r="9" ht="23.25" customHeight="1" spans="1:6" x14ac:dyDescent="0.25">
      <c r="A9" s="14">
        <v>5</v>
      </c>
      <c r="B9" s="14" t="s">
        <v>1199</v>
      </c>
      <c r="C9" s="14" t="s">
        <v>1022</v>
      </c>
      <c r="D9" s="14" t="s">
        <v>134</v>
      </c>
      <c r="E9" s="14" t="s">
        <v>1208</v>
      </c>
      <c r="F9" s="14" t="s">
        <v>1203</v>
      </c>
    </row>
    <row r="10" ht="23.25" customHeight="1" spans="1:6" x14ac:dyDescent="0.25">
      <c r="A10" s="14">
        <v>6</v>
      </c>
      <c r="B10" s="14" t="s">
        <v>1199</v>
      </c>
      <c r="C10" s="14" t="s">
        <v>1209</v>
      </c>
      <c r="D10" s="14" t="s">
        <v>134</v>
      </c>
      <c r="E10" s="14" t="s">
        <v>1210</v>
      </c>
      <c r="F10" s="14" t="s">
        <v>1203</v>
      </c>
    </row>
    <row r="11" ht="23.25" customHeight="1" spans="1:6" x14ac:dyDescent="0.25">
      <c r="A11" s="14">
        <v>7</v>
      </c>
      <c r="B11" s="14" t="s">
        <v>1211</v>
      </c>
      <c r="C11" s="14" t="s">
        <v>1212</v>
      </c>
      <c r="D11" s="14" t="s">
        <v>134</v>
      </c>
      <c r="E11" s="14" t="s">
        <v>1213</v>
      </c>
      <c r="F11" s="14" t="s">
        <v>1214</v>
      </c>
    </row>
    <row r="12" ht="23.25" customHeight="1" spans="1:6" x14ac:dyDescent="0.25">
      <c r="A12" s="14">
        <v>8</v>
      </c>
      <c r="B12" s="14" t="s">
        <v>1215</v>
      </c>
      <c r="C12" s="14" t="s">
        <v>1014</v>
      </c>
      <c r="D12" s="14" t="s">
        <v>183</v>
      </c>
      <c r="E12" s="14" t="s">
        <v>1216</v>
      </c>
      <c r="F12" s="14" t="s">
        <v>1217</v>
      </c>
    </row>
    <row r="13" ht="23.25" customHeight="1" spans="1:6" x14ac:dyDescent="0.25">
      <c r="A13" s="14">
        <v>9</v>
      </c>
      <c r="B13" s="14" t="s">
        <v>1215</v>
      </c>
      <c r="C13" s="14" t="s">
        <v>1206</v>
      </c>
      <c r="D13" s="14" t="s">
        <v>183</v>
      </c>
      <c r="E13" s="14" t="s">
        <v>1216</v>
      </c>
      <c r="F13" s="14" t="s">
        <v>1217</v>
      </c>
    </row>
    <row r="14" ht="15" customHeight="1" spans="1:6" x14ac:dyDescent="0.25">
      <c r="A14" s="14">
        <v>10</v>
      </c>
      <c r="B14" s="14" t="s">
        <v>1215</v>
      </c>
      <c r="C14" s="14" t="s">
        <v>1022</v>
      </c>
      <c r="D14" s="14" t="s">
        <v>183</v>
      </c>
      <c r="E14" s="14" t="s">
        <v>1218</v>
      </c>
      <c r="F14" s="14" t="s">
        <v>1219</v>
      </c>
    </row>
    <row r="15" ht="23.25" customHeight="1" spans="1:6" x14ac:dyDescent="0.25">
      <c r="A15" s="14">
        <v>11</v>
      </c>
      <c r="B15" s="14" t="s">
        <v>1220</v>
      </c>
      <c r="C15" s="14" t="s">
        <v>1221</v>
      </c>
      <c r="D15" s="14" t="s">
        <v>183</v>
      </c>
      <c r="E15" s="14" t="s">
        <v>1222</v>
      </c>
      <c r="F15" s="14" t="s">
        <v>1223</v>
      </c>
    </row>
    <row r="16" ht="15" customHeight="1" spans="1:6" x14ac:dyDescent="0.25">
      <c r="A16" s="14">
        <v>12</v>
      </c>
      <c r="B16" s="14" t="s">
        <v>1211</v>
      </c>
      <c r="C16" s="14" t="s">
        <v>1212</v>
      </c>
      <c r="D16" s="14" t="s">
        <v>183</v>
      </c>
      <c r="E16" s="14" t="s">
        <v>1224</v>
      </c>
      <c r="F16" s="14" t="s">
        <v>1225</v>
      </c>
    </row>
    <row r="17" ht="23.25" customHeight="1" spans="1:6" x14ac:dyDescent="0.25">
      <c r="A17" s="14">
        <v>13</v>
      </c>
      <c r="B17" s="14" t="s">
        <v>1199</v>
      </c>
      <c r="C17" s="14" t="s">
        <v>1014</v>
      </c>
      <c r="D17" s="14" t="s">
        <v>178</v>
      </c>
      <c r="E17" s="14" t="s">
        <v>1226</v>
      </c>
      <c r="F17" s="14" t="s">
        <v>1227</v>
      </c>
    </row>
    <row r="18" ht="23.25" customHeight="1" spans="1:6" x14ac:dyDescent="0.25">
      <c r="A18" s="14">
        <v>14</v>
      </c>
      <c r="B18" s="14" t="s">
        <v>1228</v>
      </c>
      <c r="C18" s="14" t="s">
        <v>1229</v>
      </c>
      <c r="D18" s="14" t="s">
        <v>178</v>
      </c>
      <c r="E18" s="14" t="s">
        <v>1230</v>
      </c>
      <c r="F18" s="14" t="s">
        <v>1201</v>
      </c>
    </row>
    <row r="19" ht="23.25" customHeight="1" spans="1:6" x14ac:dyDescent="0.25">
      <c r="A19" s="14">
        <v>15</v>
      </c>
      <c r="B19" s="14" t="s">
        <v>1231</v>
      </c>
      <c r="C19" s="14" t="s">
        <v>1232</v>
      </c>
      <c r="D19" s="14" t="s">
        <v>183</v>
      </c>
      <c r="E19" s="14" t="s">
        <v>1233</v>
      </c>
      <c r="F19" s="14" t="s">
        <v>1234</v>
      </c>
    </row>
    <row r="20" ht="23.25" customHeight="1" spans="1:6" x14ac:dyDescent="0.25">
      <c r="A20" s="14">
        <v>16</v>
      </c>
      <c r="B20" s="14" t="s">
        <v>82</v>
      </c>
      <c r="C20" s="14" t="s">
        <v>1145</v>
      </c>
      <c r="D20" s="14" t="s">
        <v>183</v>
      </c>
      <c r="E20" s="14" t="s">
        <v>1235</v>
      </c>
      <c r="F20" s="14" t="s">
        <v>1236</v>
      </c>
    </row>
    <row r="21" ht="34.5" customHeight="1" spans="1:6" x14ac:dyDescent="0.25">
      <c r="A21" s="14">
        <v>17</v>
      </c>
      <c r="B21" s="14" t="s">
        <v>1215</v>
      </c>
      <c r="C21" s="14" t="s">
        <v>1014</v>
      </c>
      <c r="D21" s="14" t="s">
        <v>183</v>
      </c>
      <c r="E21" s="14" t="s">
        <v>1237</v>
      </c>
      <c r="F21" s="14" t="s">
        <v>1238</v>
      </c>
    </row>
    <row r="22" ht="23.25" customHeight="1" spans="1:6" x14ac:dyDescent="0.25">
      <c r="A22" s="14">
        <v>18</v>
      </c>
      <c r="B22" s="14" t="s">
        <v>1215</v>
      </c>
      <c r="C22" s="14" t="s">
        <v>1239</v>
      </c>
      <c r="D22" s="14" t="s">
        <v>1240</v>
      </c>
      <c r="E22" s="14" t="s">
        <v>1241</v>
      </c>
      <c r="F22" s="14" t="s">
        <v>1242</v>
      </c>
    </row>
    <row r="23" ht="23.85" customHeight="1" spans="1:6" x14ac:dyDescent="0.25">
      <c r="A23" s="14">
        <v>19</v>
      </c>
      <c r="B23" s="14" t="s">
        <v>1243</v>
      </c>
      <c r="C23" s="14" t="s">
        <v>1244</v>
      </c>
      <c r="D23" s="14" t="s">
        <v>390</v>
      </c>
      <c r="E23" s="14" t="s">
        <v>1245</v>
      </c>
      <c r="F23" s="14" t="s">
        <v>1246</v>
      </c>
    </row>
    <row r="24" ht="23.85" customHeight="1" spans="1:6" x14ac:dyDescent="0.25">
      <c r="A24" s="14">
        <v>20</v>
      </c>
      <c r="B24" s="14" t="s">
        <v>1243</v>
      </c>
      <c r="C24" s="14" t="s">
        <v>1247</v>
      </c>
      <c r="D24" s="14" t="s">
        <v>390</v>
      </c>
      <c r="E24" s="14" t="s">
        <v>1248</v>
      </c>
      <c r="F24" s="14" t="s">
        <v>1249</v>
      </c>
    </row>
    <row r="25" ht="15" customHeight="1" spans="1:6" x14ac:dyDescent="0.25">
      <c r="A25" s="14">
        <v>21</v>
      </c>
      <c r="B25" s="14" t="s">
        <v>1199</v>
      </c>
      <c r="C25" s="14" t="s">
        <v>1250</v>
      </c>
      <c r="D25" s="14" t="s">
        <v>178</v>
      </c>
      <c r="E25" s="14" t="s">
        <v>1251</v>
      </c>
      <c r="F25" s="14" t="s">
        <v>1201</v>
      </c>
    </row>
    <row r="26" ht="15" customHeight="1" spans="1:6" x14ac:dyDescent="0.25">
      <c r="A26" s="14">
        <v>22</v>
      </c>
      <c r="B26" s="14" t="s">
        <v>1199</v>
      </c>
      <c r="C26" s="14" t="s">
        <v>1252</v>
      </c>
      <c r="D26" s="14" t="s">
        <v>390</v>
      </c>
      <c r="E26" s="14" t="s">
        <v>1253</v>
      </c>
      <c r="F26" s="14" t="s">
        <v>1254</v>
      </c>
    </row>
    <row r="27" ht="15" customHeight="1" spans="1:6" x14ac:dyDescent="0.25">
      <c r="A27" s="14">
        <v>23</v>
      </c>
      <c r="B27" s="14" t="s">
        <v>1199</v>
      </c>
      <c r="C27" s="14" t="s">
        <v>1255</v>
      </c>
      <c r="D27" s="14" t="s">
        <v>390</v>
      </c>
      <c r="E27" s="14" t="s">
        <v>1256</v>
      </c>
      <c r="F27" s="14" t="s">
        <v>1254</v>
      </c>
    </row>
    <row r="28" ht="15" customHeight="1" spans="1:6" x14ac:dyDescent="0.25">
      <c r="A28" s="14">
        <v>24</v>
      </c>
      <c r="B28" s="14" t="s">
        <v>1199</v>
      </c>
      <c r="C28" s="14" t="s">
        <v>1257</v>
      </c>
      <c r="D28" s="14" t="s">
        <v>134</v>
      </c>
      <c r="E28" s="14" t="s">
        <v>1258</v>
      </c>
      <c r="F28" s="14" t="s">
        <v>1259</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Executive Summary</vt:lpstr>
      <vt:lpstr>Summary</vt:lpstr>
      <vt:lpstr>Scope &amp; Approach</vt:lpstr>
      <vt:lpstr>Test Cases</vt:lpstr>
      <vt:lpstr>Defect Log</vt:lpstr>
      <vt:lpstr>Test Data &amp; Cleanup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itle/>
  <dc:subject/>
  <dc:description/>
  <dc:language>en-US</dc:language>
  <cp:lastModifiedBy>Unknown</cp:lastModifiedBy>
  <dcterms:created xsi:type="dcterms:W3CDTF">2026-08-13T07:47:01Z</dcterms:created>
  <dcterms:modified xsi:type="dcterms:W3CDTF">2026-08-13T08:51:23Z</dcterms:modified>
</cp:coreProperties>
</file>